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codeName="ThisWorkbook" checkCompatibility="1" defaultThemeVersion="124226"/>
  <mc:AlternateContent xmlns:mc="http://schemas.openxmlformats.org/markup-compatibility/2006">
    <mc:Choice Requires="x15">
      <x15ac:absPath xmlns:x15ac="http://schemas.microsoft.com/office/spreadsheetml/2010/11/ac" url="https://inspro-my.sharepoint.com/personal/jeslynyeo_inspro_com_sg/Documents/Desktop/CLIENTS/CUBER AI/PLACEMENT 25 - 26/"/>
    </mc:Choice>
  </mc:AlternateContent>
  <xr:revisionPtr revIDLastSave="20" documentId="8_{BCCA3F56-4AF3-4E90-A558-B80A81E39790}" xr6:coauthVersionLast="47" xr6:coauthVersionMax="47" xr10:uidLastSave="{FC771A09-A230-4BEA-B3C8-CEF68B233C8B}"/>
  <bookViews>
    <workbookView xWindow="-110" yWindow="-110" windowWidth="19420" windowHeight="11500" tabRatio="819" firstSheet="9" activeTab="9" xr2:uid="{C585AE4D-DD55-4FEC-8AD0-3DE66AD7AECD}"/>
  </bookViews>
  <sheets>
    <sheet name="GTL" sheetId="17" r:id="rId1"/>
    <sheet name="GCI- Diag or Death - AP" sheetId="45" r:id="rId2"/>
    <sheet name="GHS" sheetId="30" r:id="rId3"/>
    <sheet name="GMM" sheetId="31" r:id="rId4"/>
    <sheet name="GCGP" sheetId="38" r:id="rId5"/>
    <sheet name="GCSP" sheetId="40" r:id="rId6"/>
    <sheet name="GD" sheetId="36" r:id="rId7"/>
    <sheet name="GPA" sheetId="42" r:id="rId8"/>
    <sheet name="GBT (w GPA)" sheetId="49" r:id="rId9"/>
    <sheet name="WICI" sheetId="50" r:id="rId10"/>
  </sheets>
  <definedNames>
    <definedName name="_xlnm.Print_Area" localSheetId="8">'GBT (w GPA)'!$A$1:$H$89</definedName>
    <definedName name="_xlnm.Print_Area" localSheetId="4">GCGP!$A$1:$P$90</definedName>
    <definedName name="_xlnm.Print_Area" localSheetId="1">'GCI- Diag or Death - AP'!$A$1:$I$92</definedName>
    <definedName name="_xlnm.Print_Area" localSheetId="5">GCSP!$A$1:$O$69</definedName>
    <definedName name="_xlnm.Print_Area" localSheetId="6">GD!$A$1:$P$63</definedName>
    <definedName name="_xlnm.Print_Area" localSheetId="2">GHS!$A$1:$O$123</definedName>
    <definedName name="_xlnm.Print_Area" localSheetId="3">GMM!$A$1:$O$80</definedName>
    <definedName name="_xlnm.Print_Area" localSheetId="7">GPA!$A$1:$I$91</definedName>
    <definedName name="_xlnm.Print_Area" localSheetId="0">GTL!$A$1:$H$54</definedName>
    <definedName name="_xlnm.Print_Area" localSheetId="9">WICI!$A$1:$J$71</definedName>
    <definedName name="Z_1920907F_48C4_406A_A654_B99B0717052F_.wvu.PrintArea" localSheetId="8" hidden="1">'GBT (w GPA)'!$A$1:$H$89</definedName>
    <definedName name="Z_1920907F_48C4_406A_A654_B99B0717052F_.wvu.PrintArea" localSheetId="7" hidden="1">GPA!$A$1:$I$80</definedName>
    <definedName name="Z_1920907F_48C4_406A_A654_B99B0717052F_.wvu.PrintTitles" localSheetId="8" hidden="1">'GBT (w GPA)'!#REF!</definedName>
    <definedName name="Z_1920907F_48C4_406A_A654_B99B0717052F_.wvu.PrintTitles" localSheetId="7" hidden="1">GPA!#REF!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17" l="1"/>
  <c r="H37" i="50"/>
  <c r="H33" i="50" l="1"/>
  <c r="F38" i="50" s="1"/>
  <c r="H38" i="50" s="1"/>
  <c r="H32" i="50"/>
  <c r="I22" i="42"/>
  <c r="F28" i="42" s="1"/>
  <c r="H28" i="42" s="1"/>
  <c r="I21" i="42"/>
  <c r="F27" i="42" s="1"/>
  <c r="H27" i="42" s="1"/>
  <c r="H22" i="17"/>
  <c r="G26" i="17"/>
  <c r="F37" i="50"/>
  <c r="H27" i="49"/>
  <c r="H26" i="49"/>
  <c r="E27" i="36"/>
  <c r="H27" i="36" s="1"/>
  <c r="C29" i="36" s="1"/>
  <c r="E27" i="40"/>
  <c r="H27" i="40" s="1"/>
  <c r="C29" i="40" s="1"/>
  <c r="E27" i="38"/>
  <c r="H27" i="38" s="1"/>
  <c r="C29" i="38" s="1"/>
  <c r="N29" i="31"/>
  <c r="M29" i="31"/>
  <c r="M28" i="31"/>
  <c r="K29" i="31"/>
  <c r="K28" i="31"/>
  <c r="I29" i="31"/>
  <c r="I28" i="31"/>
  <c r="F29" i="31"/>
  <c r="F28" i="31"/>
  <c r="N28" i="31" s="1"/>
  <c r="M29" i="30"/>
  <c r="M28" i="30"/>
  <c r="K29" i="30"/>
  <c r="K28" i="30"/>
  <c r="I29" i="30"/>
  <c r="I28" i="30"/>
  <c r="F29" i="30"/>
  <c r="N29" i="30" s="1"/>
  <c r="C31" i="30" s="1"/>
  <c r="F28" i="30"/>
  <c r="N28" i="30" s="1"/>
  <c r="H22" i="45"/>
  <c r="E27" i="45" s="1"/>
  <c r="G27" i="45" s="1"/>
  <c r="H21" i="45"/>
  <c r="E26" i="45"/>
  <c r="G26" i="45" s="1"/>
  <c r="E27" i="17"/>
  <c r="G27" i="17" s="1"/>
  <c r="C29" i="49" l="1"/>
  <c r="D40" i="50"/>
  <c r="C31" i="31"/>
  <c r="C30" i="45"/>
  <c r="C30" i="17"/>
  <c r="C38" i="42" l="1"/>
</calcChain>
</file>

<file path=xl/sharedStrings.xml><?xml version="1.0" encoding="utf-8"?>
<sst xmlns="http://schemas.openxmlformats.org/spreadsheetml/2006/main" count="1129" uniqueCount="533">
  <si>
    <t xml:space="preserve">Group Term Life </t>
  </si>
  <si>
    <t>Group :</t>
  </si>
  <si>
    <t>Policyholder :</t>
  </si>
  <si>
    <t>CUBERAI TECHNOLOGIES PTE. LTD.</t>
  </si>
  <si>
    <t>Insured :</t>
  </si>
  <si>
    <t xml:space="preserve">Address : </t>
  </si>
  <si>
    <t>6 Raffles Quay #14-02 Singapore 048580</t>
  </si>
  <si>
    <t xml:space="preserve">Business : </t>
  </si>
  <si>
    <t>Development of Software and Applications (Except Games and Cybersecurity)</t>
  </si>
  <si>
    <t xml:space="preserve">Period of Insurance : </t>
  </si>
  <si>
    <t>01/05/2025 - 30/04/2026</t>
  </si>
  <si>
    <t>Insurer :</t>
  </si>
  <si>
    <t>Tokio Marine Life</t>
  </si>
  <si>
    <t>Pool :</t>
  </si>
  <si>
    <t>Policy No. :</t>
  </si>
  <si>
    <t xml:space="preserve">Eligibility : </t>
  </si>
  <si>
    <t>All full time &amp; permanent employees up to 74 (age next birthday)</t>
  </si>
  <si>
    <t>Eligibility Date :</t>
  </si>
  <si>
    <t>Upon employment  or date the insured member is actively at work with the insured</t>
  </si>
  <si>
    <r>
      <t>Last entry age :</t>
    </r>
    <r>
      <rPr>
        <sz val="10"/>
        <rFont val="Arial"/>
        <family val="2"/>
      </rPr>
      <t xml:space="preserve"> </t>
    </r>
  </si>
  <si>
    <t xml:space="preserve">73 (age next birthday) </t>
  </si>
  <si>
    <t>Type of Administration :</t>
  </si>
  <si>
    <t>Name basis</t>
  </si>
  <si>
    <t xml:space="preserve">Basis of Cover : </t>
  </si>
  <si>
    <t>Insured</t>
  </si>
  <si>
    <t>Category</t>
  </si>
  <si>
    <t>Participation</t>
  </si>
  <si>
    <t>* No. of employees</t>
  </si>
  <si>
    <t>Basis</t>
  </si>
  <si>
    <t>* Sum Insured ( SI )</t>
  </si>
  <si>
    <t>CUBER AI TECHNOLOGIES PTE. LTD.</t>
  </si>
  <si>
    <t>Senior Management</t>
  </si>
  <si>
    <t>Compulsory</t>
  </si>
  <si>
    <t>Plan 5 - $300,000</t>
  </si>
  <si>
    <t>Corporate Staff (All Other Employees)</t>
  </si>
  <si>
    <t>Plan 3 - 12 times last drawn basic monthly salary</t>
  </si>
  <si>
    <t>* FIGURES ABOVE ARE FOR ILLUSTRATION ONLY. ACTUAL FIGURES FOR BILLING MUST BE PROVIDED WITHIN 30 DAYS FROM POLICY INCEPTION . IF NOT BINDER BINDING WILL BE APPLIED .</t>
  </si>
  <si>
    <t>Rate :</t>
  </si>
  <si>
    <t>Sum Insured ( SI )</t>
  </si>
  <si>
    <t>Rate per S$1000 sum insured</t>
  </si>
  <si>
    <t>Annual Premium</t>
  </si>
  <si>
    <t>Annual Premium (GST exempt) :</t>
  </si>
  <si>
    <t>Non Evidence Limit :</t>
  </si>
  <si>
    <t>Sum insured exceeding S$300,000 or existing FCL (whichever is higher) or age 65  (age next birthday) requires underwriting
New Increased Non-Evidence Limit does not apply to existing sub-standard lives or declined cases</t>
  </si>
  <si>
    <t>Maximum Limit Per Insured Person :</t>
  </si>
  <si>
    <t xml:space="preserve">Cover : </t>
  </si>
  <si>
    <t>Payment of accepted sum insured as per schedule of benefits</t>
  </si>
  <si>
    <t>SCHEDULE OF BENEFITS / INSURER</t>
  </si>
  <si>
    <t>Death Benefit</t>
  </si>
  <si>
    <t>(a) On the death of a Life Assured, insurer will pay the Sum Assured.
(b) In the event of death, immediate notice must be given to insurer with particulars sufficient to identify the Life Assured. Failure to give notice within the time provided in this Policy will not invalidate any claim if it is shown that it was given as soon as reasonably practicable.
(c) The Death Benefit payable under this subclause will be reduced by the amount (if any) paid under subclause (2) and (4).</t>
  </si>
  <si>
    <t>Total &amp; Permanent Disablement Benefit  (TPD)</t>
  </si>
  <si>
    <t>(a) If a Life Assured becomes totally and permanently disabled, insurer will pay an advancement of the Sum Assured.
(b) Where a claim under subclause (4) has been admitted and paid prior to a claim for Total and Permanent Disability, then the benefit under this subclause will not be payable.
(c) Unless specifically provided in any endorsement, this benefit for Total and Permanent Disability will be reduced so that total sum assured (including Family Income Benefit) payable by insurer for the same life will not be more than $2million, if similar benefits for total and permanent disability are provided under any other group policy or supplementary contract issued by insurer.
(d) No Total and Permanent Disability Benefit will be payable if the Life Assured becomes totally and permanently disabled upon his 71th next birthday.
(e) Insurer must be notified in writing of any claim as soon as it is practicable. In any case, satisfactory proof of the Total and Permanent Disability must be submitted to insurer within 120 days from the date such disability began.</t>
  </si>
  <si>
    <t>Family Income Benefit</t>
  </si>
  <si>
    <t>(a) In the event of death or Total and Permanent Disability of the Life Assured, insurer will pay a monthly Family Income Benefit of one per cent of the Sum Assured. 
(b) Payment of the Family Income Benefit will start on the first monthly anniversary of the payment of the Death or Total and Permanent Disability Benefit, as the case may be.
(c) The payments will stop when a total of 12 payments have been made.</t>
  </si>
  <si>
    <t>Terminal Illness Benefit</t>
  </si>
  <si>
    <t>(a) If a Life Assured suffers from a condition, which in the opinion of the medical specialist involved and subject to the acceptance of insurer's medical consultant, is highly likely to lead to death within 12 months, insurer will pay an advancement of the Sum Assured.
(b) If the full Sum Assured is paid under paragraph (a), the coverage provided under this Group Term Policy will terminate but insurer will continue to cover the Life Assured under any supplementary contracts.
(c) The coverage of the Life Assured under paragraphs (a) and (b) will continue (subject to payment of premiums) unless otherwise terminated as provided under the General Provisions or the supplementary contracts.</t>
  </si>
  <si>
    <t>Extended Benefit</t>
  </si>
  <si>
    <t>If a Life Assured's employment is terminated by policyholder on medical grounds, the coverage under subclauses (1), (2), (3) and (4) of the Life Assured under this Policy (but excluding any supplementary contracts attached to this Policy) will be extended for a period of 12 months provided that 
(a) the termination takes place within six months from the date that the Life Assured ceases to be Actively at Work;
(b) No claim has been made earlier for Total and Permanent Disability Benefit;
(c) the Life Assured remains continuously unemployed from the date he leaves your employment;
(d) insurer did not impose special terms or conditions applicable to a substandard risk when accepting the Life Assured's proposal for assurance;
(e) notice in writing of such termination of employment is given by you to us within 14 days from the date of termination of employment; and
(f) premiums are paid during the extended 12-month period.
When the extended benefit comes into effect, all other supplementary contracts attached to the Policy in respect of the Life Assured will automatically terminate.
This extended benefit will cease if this Policy is terminated.</t>
  </si>
  <si>
    <t>Repatriation Expenses Benefit</t>
  </si>
  <si>
    <t>If an Insured Member dies as a result of injury or sickness commencing while he is travelling outside of his residence or place of regular employment, an authorised provider appointed by Insurer shall organise the transportation of the mortal remains of the deceased to the place of residence or place of regular employment.
As an alternative, upon specific request of the personal representative of the deceased, and wherever possible, the Appointed Provider will organise the local burial in the country in which the Deceased was visiting at the time of his death.
The amount of this benefit will be equal to the covered expenses incurred but not exceeding a maximum of S$50,000. Insurer shall pay directly to the Appointed Provider the covered expenses, which shall include all expenses and charges (including all applicable taxes, duties or other government levies or charges thereon) relating to such transportation of mortal remains or burial.</t>
  </si>
  <si>
    <t>Additional Arrangements :</t>
  </si>
  <si>
    <t>Take Over Basis from previous insurer's Endorsements and Practices</t>
  </si>
  <si>
    <t>To include cover for employees who are not actively at work (applicable for takeover only), subject to proof of insurability</t>
  </si>
  <si>
    <t>Addition &amp; deletion clause (name basis) - to allow backdating of any movement of employees up to 90 days</t>
  </si>
  <si>
    <t xml:space="preserve">Group Critical Illness : Additional from Group Term Life </t>
  </si>
  <si>
    <t>Option 1 - $50,000</t>
  </si>
  <si>
    <t>Option 2 - $30,000</t>
  </si>
  <si>
    <t>Premium</t>
  </si>
  <si>
    <t>Annual Premium (GST Exempt) :</t>
  </si>
  <si>
    <t>Sum insured exceeding S$50,000 or existing FCL (whichever is higher) or age 65 (age next bithday) requires underwriting
New Increased Non-Evidence Limit does not apply to existing sub-standard lives or declined cases</t>
  </si>
  <si>
    <t>Cover :</t>
  </si>
  <si>
    <t>SCHEDULE OF BENEFITS / LIST OF DISEASES / INSURER</t>
  </si>
  <si>
    <t>On diagnosis of a dread disease as defined in policy</t>
  </si>
  <si>
    <t>Pays sum insured</t>
  </si>
  <si>
    <t>(a)</t>
  </si>
  <si>
    <t>subject to survival period from date of diagnosis</t>
  </si>
  <si>
    <t>30 days</t>
  </si>
  <si>
    <t>Or</t>
  </si>
  <si>
    <t>Death from a dread disease as defined in policy</t>
  </si>
  <si>
    <t>NA</t>
  </si>
  <si>
    <t>Death due to any reason</t>
  </si>
  <si>
    <t xml:space="preserve">Total &amp; Permanent Disablement Benefit ( TPD )  
</t>
  </si>
  <si>
    <t>Above subject to max. limit per insured person</t>
  </si>
  <si>
    <t>List of Dread Diseases</t>
  </si>
  <si>
    <t>Major Cancers</t>
  </si>
  <si>
    <t>Heart Attack of Specified Severity</t>
  </si>
  <si>
    <t>Stroke</t>
  </si>
  <si>
    <t>Coronary Artery By-pass Surgery</t>
  </si>
  <si>
    <t>Kidney Failure</t>
  </si>
  <si>
    <t>Aplastic Anaemia</t>
  </si>
  <si>
    <t>End Stage Lung Disease</t>
  </si>
  <si>
    <t>End Stage Liver Failure</t>
  </si>
  <si>
    <t>Coma</t>
  </si>
  <si>
    <t>Deafness (Loss of Hearing)</t>
  </si>
  <si>
    <t>Heart Valve Surgery</t>
  </si>
  <si>
    <t>Loss of Speech</t>
  </si>
  <si>
    <t>Major Burns</t>
  </si>
  <si>
    <t>Major Organ / Bone Marrow Transplantation</t>
  </si>
  <si>
    <t>Multiple Sclerosis</t>
  </si>
  <si>
    <t>Muscular Dystrophy</t>
  </si>
  <si>
    <t>Parkinson’s Disease</t>
  </si>
  <si>
    <t>Surgery to Aorta</t>
  </si>
  <si>
    <t>Alzheimer’s Disease / Severe Dementia</t>
  </si>
  <si>
    <t>Fulminant Hepatitis</t>
  </si>
  <si>
    <t>Motor Neurone Disease</t>
  </si>
  <si>
    <t>Primary Pulmonary Hypertension</t>
  </si>
  <si>
    <t>HIV Due to Blood Transfusion and Occupationally Acquired HIV</t>
  </si>
  <si>
    <t>Benign Brain Tumour</t>
  </si>
  <si>
    <t>Viral Encephalitis</t>
  </si>
  <si>
    <t>Bacterial Meningitis</t>
  </si>
  <si>
    <t>Angioplasty &amp; Other Invasive Treatment For Coronary Artery</t>
  </si>
  <si>
    <t>Blindness (Loss of Sight)</t>
  </si>
  <si>
    <t>Major Head Trauma</t>
  </si>
  <si>
    <t>Paralysis (Loss of Use of Limbs)</t>
  </si>
  <si>
    <t>Terminal Illness</t>
  </si>
  <si>
    <t>Progressive Scleroderma</t>
  </si>
  <si>
    <t>Apallic Syndrome</t>
  </si>
  <si>
    <t>Systemic Lupus Erythematosus with Lupus Nephritis</t>
  </si>
  <si>
    <t>Other Serious Coronary Artery Disease</t>
  </si>
  <si>
    <t>Poliomyelitis</t>
  </si>
  <si>
    <t>Loss of Independent Existence</t>
  </si>
  <si>
    <t>To include cover for employees who are not actively at work ( applicable for takeover only ), subject to proof of insurability</t>
  </si>
  <si>
    <t>Addition &amp; deletion clause ( name basis ) - to allow backdating of any movement of employees up to 90 days.</t>
  </si>
  <si>
    <t>Group Hospital &amp; Surgical</t>
  </si>
  <si>
    <t>Plan</t>
  </si>
  <si>
    <t>* Number</t>
  </si>
  <si>
    <t>EO</t>
  </si>
  <si>
    <t>ES</t>
  </si>
  <si>
    <t>EC</t>
  </si>
  <si>
    <t>EF</t>
  </si>
  <si>
    <t>Senior Management &amp; Eligible Dependants</t>
  </si>
  <si>
    <t>Corporate Staff &amp; Eligible Dependants (All Other Employees)</t>
  </si>
  <si>
    <t>Rate</t>
  </si>
  <si>
    <t>Annual Premium (sbj to GST) :</t>
  </si>
  <si>
    <t xml:space="preserve">Cover: </t>
  </si>
  <si>
    <t>Reimbursement of eligible inpatient expenses as per schedule of benefits in respect of any hospitalisation due to illness or accident</t>
  </si>
  <si>
    <t>SCHEDULE OF BENEFITS / INSURER / PLAN</t>
  </si>
  <si>
    <t>PLAN 1</t>
  </si>
  <si>
    <t>PLAN 4</t>
  </si>
  <si>
    <t>A. Definition of per disability :</t>
  </si>
  <si>
    <t>MAXIMUM PER DISABILITY</t>
  </si>
  <si>
    <t>All disabilities including any and all complications arising from same cause except that which occurs after the Qualification period - No. of days after discharge from hospital / day surgery.</t>
  </si>
  <si>
    <t>14 days</t>
  </si>
  <si>
    <t>Daily Room &amp; Board</t>
  </si>
  <si>
    <t>1 Bed Private</t>
  </si>
  <si>
    <t>4 Bed Restr.</t>
  </si>
  <si>
    <t>Maximum no. of days</t>
  </si>
  <si>
    <t>120 days</t>
  </si>
  <si>
    <t>Intensive Care Unit ( ICU ) including High Dependency Ward (HDW)</t>
  </si>
  <si>
    <t>In-patient Expenses</t>
  </si>
  <si>
    <t>Includes :</t>
  </si>
  <si>
    <t>( a )</t>
  </si>
  <si>
    <t xml:space="preserve">Hospital Miscellaneous Services </t>
  </si>
  <si>
    <t>Include Surgical Implants</t>
  </si>
  <si>
    <t>( b )</t>
  </si>
  <si>
    <t>Surgical Fees</t>
  </si>
  <si>
    <t>Surgical Schedule applicable</t>
  </si>
  <si>
    <t>Surgical schedule applies to limit for surgery S$1,500 and above in private hospitals</t>
  </si>
  <si>
    <t>( c )</t>
  </si>
  <si>
    <t>Daily in hospital doctor's visit</t>
  </si>
  <si>
    <t>Out-patient Expenses</t>
  </si>
  <si>
    <t>Pre - hospitalisation</t>
  </si>
  <si>
    <t>Specialist Consultation</t>
  </si>
  <si>
    <t>includes medication</t>
  </si>
  <si>
    <t>Diagnostic X-ray &amp; Lab Tests including specialized diagnostic test</t>
  </si>
  <si>
    <t>Qualification period - No. of days before admission to hospital / day surgery</t>
  </si>
  <si>
    <t>( d )</t>
  </si>
  <si>
    <t xml:space="preserve">Post - hospitalisation </t>
  </si>
  <si>
    <t>Qualification period - No. of days after discharge from hospital / day surgery</t>
  </si>
  <si>
    <t>Emergency accidental outpatient treatment (including accidental Dental Treatment)</t>
  </si>
  <si>
    <t>( Treatment must be sought within 24 hours. Including follow-up treatment up to 31 days )</t>
  </si>
  <si>
    <t>Outpatient Treatment :</t>
  </si>
  <si>
    <t>Maximum limit</t>
  </si>
  <si>
    <t>per policy year</t>
  </si>
  <si>
    <t>Kidney Dialysis,</t>
  </si>
  <si>
    <t xml:space="preserve">Erythropoietin, Cyclosporin </t>
  </si>
  <si>
    <t xml:space="preserve">Chemotherapy for Cancer Treatment </t>
  </si>
  <si>
    <t>including Immunotherapy</t>
  </si>
  <si>
    <t xml:space="preserve">Radiotherapy for Cancer Treatment </t>
  </si>
  <si>
    <t>Pre existing conditions</t>
  </si>
  <si>
    <t>12 months waiting period</t>
  </si>
  <si>
    <t>Co - insurance</t>
  </si>
  <si>
    <t>NIL</t>
  </si>
  <si>
    <t>Miscarriage Benefit</t>
  </si>
  <si>
    <t>As per disability</t>
  </si>
  <si>
    <t>Accidental &amp; Non Accidental Miscarriage including abortion due to medical reasons. (Includes ectopic pregnancy)</t>
  </si>
  <si>
    <t>Death / Funeral Expense Benefit</t>
  </si>
  <si>
    <t>Ambulance Fees</t>
  </si>
  <si>
    <t>Overseas Hospitalisation due to accidental causes</t>
  </si>
  <si>
    <t>Up to 150% of Schedule of Benefits for Benefit item 1 to 5 up to 180 days</t>
  </si>
  <si>
    <t>Community / Rehabilitation Confinement Benefit</t>
  </si>
  <si>
    <t>( Max up to 31 days following discharge from Hospital or day surgery )</t>
  </si>
  <si>
    <t>Claim Medical Report Fees</t>
  </si>
  <si>
    <t xml:space="preserve">Home Nursing Care </t>
  </si>
  <si>
    <t>(Max. 30 days)</t>
  </si>
  <si>
    <t>Inpatient Psychiatric Treatment</t>
  </si>
  <si>
    <t>Extension to cover GST</t>
  </si>
  <si>
    <t>Yes</t>
  </si>
  <si>
    <t>For International Transferees / expatriates &amp; their eligible dependants residing in Singapore will be subject to 12 months pre-existing conditions exclusions except if they have been continuously insured under any company sponsored scheme. Evidence of coverage must be provided to insurer upon submission of claim.</t>
  </si>
  <si>
    <t>LOG Applicable  (on case by case basis)</t>
  </si>
  <si>
    <t>Pre - existing conditions : Where insured person has prior insurance coverage, the waiting period is 12 months starting from the effective date less the number of months insured person is insured under previous Group Hospital &amp; Surgical with a break in cover of not more than 31 calendar days between the termination date under the previous group medical insurance coverage and the commencement date under this present contract shall not constitute a lapse in coverage as stated in "pre-existing condition" exclusion.</t>
  </si>
  <si>
    <t>Hospital Cash Allowance Benefit up to maximum no. of days per disability as per schedule of benefits ( APPLICABLE FOR SINGAPOREANS &amp; PRS ONLY )</t>
  </si>
  <si>
    <t>GHS Entitlement : Room &amp; Board 1 Bed (Private) per day</t>
  </si>
  <si>
    <t>When an insured person is warded in the following Class of Ward in a Singapore Restructured Hospital, the respective hospital cash benefit shall apply accordingly :</t>
  </si>
  <si>
    <t>Class of Ward</t>
  </si>
  <si>
    <t>Hospital Cash Benefit per day of Hospital Confinement</t>
  </si>
  <si>
    <t>B1</t>
  </si>
  <si>
    <t>S$100</t>
  </si>
  <si>
    <t>B2</t>
  </si>
  <si>
    <t>S$200</t>
  </si>
  <si>
    <t>C</t>
  </si>
  <si>
    <t>S$300</t>
  </si>
  <si>
    <t xml:space="preserve">GHS Entitlement : Room &amp; Board 1 Bed (Restructured) &amp; 2 Bed (Private) per day </t>
  </si>
  <si>
    <t>S$80</t>
  </si>
  <si>
    <t>S$150</t>
  </si>
  <si>
    <t>GHS Entitlement : Room &amp; Board 4 Bed (Restructured) per day</t>
  </si>
  <si>
    <t xml:space="preserve">Group Major Medical Insurance </t>
  </si>
  <si>
    <t xml:space="preserve">Reimbursement of eligible inpatient expenses incurred in excess of Group Hospital &amp; Surgical benefits in respect of any </t>
  </si>
  <si>
    <t>hospitalisation due to illness or accident. ( NOT APPLICABLE FOR BENEFIT 4 &amp; 5 )</t>
  </si>
  <si>
    <t>( A ) CONDITIONS : ( NOT APPLICABLE FOR BENEFIT 4 )</t>
  </si>
  <si>
    <t>( 1 ) HOSPITALISATION EXCEEDING OR</t>
  </si>
  <si>
    <t>( 2 ) SURGICAL % EXCEEDING OR EQUAL</t>
  </si>
  <si>
    <t>( B ) PRE-EXISTING CONDITIONS EXCLUSION</t>
  </si>
  <si>
    <t>As per GHS</t>
  </si>
  <si>
    <t xml:space="preserve">Daily Room &amp; Board </t>
  </si>
  <si>
    <t>from</t>
  </si>
  <si>
    <t>121st day onward (31 days onwards for ICU &amp; HDW)</t>
  </si>
  <si>
    <t>Co - insurance Singapore / Overseas</t>
  </si>
  <si>
    <t>Inpatient benefits</t>
  </si>
  <si>
    <t>As charged</t>
  </si>
  <si>
    <t>Deductible</t>
  </si>
  <si>
    <t>GHS Inpatient Limits</t>
  </si>
  <si>
    <r>
      <t xml:space="preserve">Post Hospitalisation </t>
    </r>
    <r>
      <rPr>
        <sz val="10"/>
        <rFont val="Arial"/>
        <family val="2"/>
      </rPr>
      <t xml:space="preserve"> (payable after 91 days onwards)</t>
    </r>
  </si>
  <si>
    <t>Surgical Implants &amp; other specified appliances per disability</t>
  </si>
  <si>
    <t>Daily Parental Accommodation for insured children</t>
  </si>
  <si>
    <t xml:space="preserve">Daily Home Nursing Benefit </t>
  </si>
  <si>
    <t xml:space="preserve">by registered nurse immediate following hospitalisation and on the recommendation of the attending physician.
</t>
  </si>
  <si>
    <t>HIV due to blood Transfusion and Occupationally Acquired HIV per policy year (as per defintiion under Critical Ilness)</t>
  </si>
  <si>
    <t>Maximum Benefit including Room &amp; Board</t>
  </si>
  <si>
    <t>Per Policy year</t>
  </si>
  <si>
    <t>YES</t>
  </si>
  <si>
    <t>Group Clinical General Practitioner Insurance</t>
  </si>
  <si>
    <t>All Employees &amp; Eligible Dependants</t>
  </si>
  <si>
    <t>Number</t>
  </si>
  <si>
    <t>Reimbursement of eligible outpatient expenses as per schedule of benefits.</t>
  </si>
  <si>
    <t>SCHEDULE OF BENEFITS / FEATURES / INSURER / PLAN</t>
  </si>
  <si>
    <t>A</t>
  </si>
  <si>
    <t>Insurer's panel clinic remuneration model :</t>
  </si>
  <si>
    <t>Fee for Services - IHP</t>
  </si>
  <si>
    <t>B</t>
  </si>
  <si>
    <t>Consultation &amp; / or medication</t>
  </si>
  <si>
    <t>Medication without consultation</t>
  </si>
  <si>
    <t>D</t>
  </si>
  <si>
    <t>Medication requiring prescription / Non retail medication with prescription</t>
  </si>
  <si>
    <t>E</t>
  </si>
  <si>
    <t>Diagnostic</t>
  </si>
  <si>
    <t>F</t>
  </si>
  <si>
    <t>Surcharge</t>
  </si>
  <si>
    <t>G</t>
  </si>
  <si>
    <t>Ecards</t>
  </si>
  <si>
    <t>Primary Care comprising consultation and medication  :</t>
  </si>
  <si>
    <t>Panel</t>
  </si>
  <si>
    <t>Per visit</t>
  </si>
  <si>
    <t>Co - payment  / Co - insurance per visit</t>
  </si>
  <si>
    <t>Per policy year</t>
  </si>
  <si>
    <t>Polyclinic</t>
  </si>
  <si>
    <t xml:space="preserve">Non Panel </t>
  </si>
  <si>
    <t>Traditional Chinese Medicine (TCM)</t>
  </si>
  <si>
    <t xml:space="preserve">6 visits </t>
  </si>
  <si>
    <t>A&amp; E Visit</t>
  </si>
  <si>
    <t>Restructured Hospitals</t>
  </si>
  <si>
    <t>Anytime</t>
  </si>
  <si>
    <t>Private Hospitals</t>
  </si>
  <si>
    <t>Per visit - Restructured Hospital</t>
  </si>
  <si>
    <t>As Charged</t>
  </si>
  <si>
    <t>Per visit - Private Hospital</t>
  </si>
  <si>
    <t>Overseas GP / Specialist</t>
  </si>
  <si>
    <t>Teleconsltation</t>
  </si>
  <si>
    <t>Pre-existing conditions and Congenital conditions are covered.</t>
  </si>
  <si>
    <t>Reprinting charge of medical cards, waived if there is police report or change of status from employment pass holder to PR.</t>
  </si>
  <si>
    <t>Visit to panel GP without medical card, will be payable on Non-Panel GP Limit.</t>
  </si>
  <si>
    <t>Extend to cover prescription of drugs obtained without consultation provided the prescription is obtained for the same repeated illness and from the same clinic.</t>
  </si>
  <si>
    <t xml:space="preserve">Group Clinical Specialist Insurance / Group Out-patient Specialist Consultation, X-ray &amp; Laboratory Test Benefit </t>
  </si>
  <si>
    <t xml:space="preserve">Reimbursement of eligible specialist expenses as per schedule of benefits </t>
  </si>
  <si>
    <t>Schedule of Benefits / Plan</t>
  </si>
  <si>
    <t>YES FOR PANEL ONLY</t>
  </si>
  <si>
    <t>Specialist Care</t>
  </si>
  <si>
    <t xml:space="preserve">With referral letter from panel GP </t>
  </si>
  <si>
    <t xml:space="preserve">- </t>
  </si>
  <si>
    <t>Panel Specialists (on cashless basis)
(including Specialist Outpatient Clinics in Govt Restructured hospitals - on reimbursement basis)</t>
  </si>
  <si>
    <t>With referral letter from non-panel GP</t>
  </si>
  <si>
    <t>Non Panel Specialists</t>
  </si>
  <si>
    <t>Diagnostic X-ray &amp; Lab Test</t>
  </si>
  <si>
    <t xml:space="preserve">With referral letter from panel GP / Panel Specialist </t>
  </si>
  <si>
    <t>-</t>
  </si>
  <si>
    <t>With referral letter from non- panel GP / Specialist</t>
  </si>
  <si>
    <t>Refer to 1b</t>
  </si>
  <si>
    <r>
      <t xml:space="preserve">Other Diagnostic Test / Scan 
</t>
    </r>
    <r>
      <rPr>
        <sz val="9"/>
        <rFont val="Arial"/>
        <family val="2"/>
      </rPr>
      <t>(CT Scan, MRI Scan, PET Scan, Barium Test and other test/ scans)</t>
    </r>
  </si>
  <si>
    <t>With referral letter from GP / Specialist</t>
  </si>
  <si>
    <t>(not part of 1b)</t>
  </si>
  <si>
    <t>Outpatient Physiotherapy/ Chiropractor treatment</t>
  </si>
  <si>
    <t>Referral letter not required for Chiropractor</t>
  </si>
  <si>
    <t>Pre-existing conditions are covered.</t>
  </si>
  <si>
    <t>If see specialist without referral letter,  reimbursed up to $30.00 per visit.</t>
  </si>
  <si>
    <t xml:space="preserve">For employee who is ongoing seeking SP treatment by providing the following :
( a ) Private SP – New referral letter from GP is required.
( b ) Restructured SP – To waive referral letter as long as there is appointment card reflected the need to continue seek treatment with the same SP. </t>
  </si>
  <si>
    <t>The referral letter to specialist is valid as long as the specialist deem that it is necessary for the patient to come back for the follow-up for the same disability. There is no time frame to see the specialist within 30 days from the date of referral letter.</t>
  </si>
  <si>
    <t xml:space="preserve">Children below 5 years old  are allowed direct visits to a paediatrician without a referral letter from a panel general practitioner. </t>
  </si>
  <si>
    <t xml:space="preserve">Referral letter to be waived for Gynaecological problems that is not normally treated at the GP </t>
  </si>
  <si>
    <t>Group Dental Insurance / Dental Program</t>
  </si>
  <si>
    <t xml:space="preserve">Reimbursement of expenses incurred for dental services as per schedule of benefits </t>
  </si>
  <si>
    <t>COVERAGE</t>
  </si>
  <si>
    <t>SINGAPORE AND MALAYSIA</t>
  </si>
  <si>
    <t>SPECIALIST DENTIST EXTENSION</t>
  </si>
  <si>
    <t>MEDICATION EXTENSION</t>
  </si>
  <si>
    <t>Consultation and Oral Examination</t>
  </si>
  <si>
    <t>Subject to annual Limit</t>
  </si>
  <si>
    <t>Medication including administration of Local Anaesthesia</t>
  </si>
  <si>
    <t>Gum Treatments</t>
  </si>
  <si>
    <t>X-Rays</t>
  </si>
  <si>
    <t>Dental Prophylaxis</t>
  </si>
  <si>
    <t>Amalgam / Composite Fillings</t>
  </si>
  <si>
    <t>Tooth-Coloured Restorations</t>
  </si>
  <si>
    <t>Extractions</t>
  </si>
  <si>
    <t>Sedative Dressings</t>
  </si>
  <si>
    <t>Retention pins - restoration of tooth</t>
  </si>
  <si>
    <t>Oral Surgery (surgical root removal or removal of wisdom tooth)</t>
  </si>
  <si>
    <t>Pulp / Room Canal Treatment</t>
  </si>
  <si>
    <t>Periodontal Treatment Root Planning</t>
  </si>
  <si>
    <t>Crowning (due to accidental cause)</t>
  </si>
  <si>
    <t>Bridges (due to accidental cause)</t>
  </si>
  <si>
    <t>Tooth replantation (Insured member's own natural tooth)</t>
  </si>
  <si>
    <t>ANNUAL LIMIT PER POLICY YEAR</t>
  </si>
  <si>
    <t xml:space="preserve">Claim form to be completed by the Dentist is not required. </t>
  </si>
  <si>
    <t xml:space="preserve">Group Personal Accident </t>
  </si>
  <si>
    <t>Zurich</t>
  </si>
  <si>
    <t>ZZG8001901SN</t>
  </si>
  <si>
    <t>All full time &amp; permanent employees up to 80 (age next birthday)</t>
  </si>
  <si>
    <t xml:space="preserve">a) Less than 5 employees (Named Basis) 
b) 5 or more employees (Headcount Basis) </t>
  </si>
  <si>
    <t>*No. of employees</t>
  </si>
  <si>
    <t>*Sum Insured ( SI )</t>
  </si>
  <si>
    <t>Plan 3 - 36 times last drawn basic monthly salary</t>
  </si>
  <si>
    <t>Plan 1 - 12 times last drawn basic monthly salary</t>
  </si>
  <si>
    <t>*FIGURES ABOVE ARE FOR ILLUSTRATION ONLY. ACTUAL FIGURES FOR BILLING WILL BE PROVIDED LATER.</t>
  </si>
  <si>
    <t xml:space="preserve">GROUP DISCOUNT </t>
  </si>
  <si>
    <t xml:space="preserve">Group Size </t>
  </si>
  <si>
    <t xml:space="preserve">Premium Rate Discount </t>
  </si>
  <si>
    <t>2 to 4</t>
  </si>
  <si>
    <t>5 to 25</t>
  </si>
  <si>
    <t>26 to 50</t>
  </si>
  <si>
    <t>51 to 75</t>
  </si>
  <si>
    <t>76 to100</t>
  </si>
  <si>
    <t>Annual Premium (sbj to GST):</t>
  </si>
  <si>
    <t>(MIN. PREMIUM : SGD200.00 before GST )</t>
  </si>
  <si>
    <t>Payment of sum insured due to accident as per schedule of benefits</t>
  </si>
  <si>
    <t>SCHEDULE OF BENEFITS  /  DEFINITION / INSURER</t>
  </si>
  <si>
    <t>Definition of Accident</t>
  </si>
  <si>
    <t>A sudden and unforeseen external event that happens unexpectedly and and causes bodily injury to the insured person within 365 days from date of accident.</t>
  </si>
  <si>
    <t>Pays 100% of sum insured.</t>
  </si>
  <si>
    <t>OR</t>
  </si>
  <si>
    <t>Total &amp; Permanent Disablement Benefit ( TPD )</t>
  </si>
  <si>
    <t>Pays 150% of sum insured.</t>
  </si>
  <si>
    <t>Partial &amp; Permanent Disablement Benefit</t>
  </si>
  <si>
    <t>Pays a % of sum insured according to severity.</t>
  </si>
  <si>
    <t>Burns Benefits</t>
  </si>
  <si>
    <r>
      <t>Third Degree Burns</t>
    </r>
    <r>
      <rPr>
        <sz val="10"/>
        <rFont val="Arial"/>
        <family val="2"/>
      </rPr>
      <t xml:space="preserve">
Pays 100% of sum insured - if on body when burns cover 40% of body surface or if on head when burns cover 20% of head surface or 
If % of burns is less than 20% or 40%, pays a % of sum insured according to severity.
</t>
    </r>
    <r>
      <rPr>
        <u/>
        <sz val="10"/>
        <rFont val="Arial"/>
        <family val="2"/>
      </rPr>
      <t>Second Degree Burns</t>
    </r>
    <r>
      <rPr>
        <sz val="10"/>
        <rFont val="Arial"/>
        <family val="2"/>
      </rPr>
      <t xml:space="preserve">
Pays a % of sum insured according to severity.</t>
    </r>
  </si>
  <si>
    <t>Additional Features :</t>
  </si>
  <si>
    <t>Automatic increase in benefits</t>
  </si>
  <si>
    <t>Pays additional 5% of capital sum insured up to 5  consecutive years or S$500,000 whichever comes first, with nil claims records</t>
  </si>
  <si>
    <t>Mobility Extension</t>
  </si>
  <si>
    <t>Reimburse up to 10% of Benefit or SGD20,000 whichever is lower for the actual expenses incurred to purchase and install mobility equipments if the insured person needs and can operate the following in the event of Permanent Total disablement :
 - Self powered, climbing wheelchair and/or 
 - prosthesis 
 - modification of the usual place of residence or motor vehicle</t>
  </si>
  <si>
    <t>Ambulance Costs</t>
  </si>
  <si>
    <t>Reimburse up to S$500 for use of the ground ambulance costs for transportation to the hospital due to accidental bodily injury.</t>
  </si>
  <si>
    <t>Funeral Expenses</t>
  </si>
  <si>
    <t>Pays lump sum of S$2,000 or its equivalent for cost of funeral expenses following accidental death due to Accidental Bodily Injury.</t>
  </si>
  <si>
    <t>Simple &amp; Other Fractures</t>
  </si>
  <si>
    <t>Pays up to S$5,000 as per Benefit Scale below when an insured suffers accidental bodily injury resulting in a simple fracture or other fractures :
( a ) Neck, skull or spine ( full break ) - 100%
( b ) Hip - 75%
( c ) Jaw, pelvis, leg, ankle or knee ( other fracture ) - 50%
( d ) Cheekbone, shoulder or hairline fracture of skull or spine - 30%
( e ) Arm, elbow, wrist or ribs ( other fracture ) - 25%
( f ) Leg, ankle or knee ( simple fracture ) - 20%
( g ) Nose or collar bone - 20%
( h ) Arm, elbow, wrist or ribs ( simple fracture ) - 10%
( i ) Finger, thumb, foot, hand or toe - 7.5%</t>
  </si>
  <si>
    <t>Child Education Fund</t>
  </si>
  <si>
    <t>Pays S$5,000 in event of accidental death of the insured person to each dependant child including legally adopted and step-child or step-children of the insured, between the age of 15 days to 18 years or 25 years old provided the child is enrolled in a pre-school, childcare, kindergarten, primary or secondary school, institution for vocational or tertiary education (full-time) licensed by the local government.</t>
  </si>
  <si>
    <t xml:space="preserve">Treatment by Chinese Physician or Chiropractor
</t>
  </si>
  <si>
    <t>Reimburse up to $750 or up to sum insured for Acidental Medical Reimbursemnt whichever is lower. Chiropractor is included.</t>
  </si>
  <si>
    <t xml:space="preserve">Accidental Hospital Recuperation Benefit </t>
  </si>
  <si>
    <t>Pays S$250 if the Insured Person suffers an Accidental Bodily Injury and is confined as a resident In-patient in a hospital for at least 24 hours within 30 days. Subsequent hospitalization resulting from the same injury is not payable.</t>
  </si>
  <si>
    <t xml:space="preserve"> - </t>
  </si>
  <si>
    <t>Accidental Death Benefit Due to Natural Catastrophe ( Typhoon, Hurricane, Earthquake &amp; Tsunami )</t>
  </si>
  <si>
    <t>Pays an additional 15% of capital sum insured or S$75,000 whichever is lesser for death due to accidental bodily injury.  
Natural catastrophe also includes cyclones, flood, landlsides, tornado, volcanic eruptions, windstorm/hail and wildfire.</t>
  </si>
  <si>
    <t>Comatose State Lump Sum Benefit</t>
  </si>
  <si>
    <t>Pays an additional % of the Comatose State sum insured ( 10% of the capital sum insured up to max S$50,000,whichever is lesser) according to duration of the coma in event of the insured person suffering from accidental bodily injury being in hospital and in a comatose state within 30 days of the date of accident.
Comatose State means a state of profound unconsciousness, characterised by the absence of spontaneous eye openings, response to painful stimuli, and vocalisation.
In case of successive Comatose State with less than 10 days between each one for a same cause, the Comatose State will be deemed as one.</t>
  </si>
  <si>
    <t>Accidental Infection with HIV through a blood transfusion</t>
  </si>
  <si>
    <t>Pays 10% of the original Permanent Disability Capital Sum Insured or $20,000 whichever is lesser. Insured Person suffers an Accidental infection with the Human Immunodeficiency Virus (HIV) through a blood transfusion, which directly and independently of all other causes, within thirty (30) days of the date of the Accident.</t>
  </si>
  <si>
    <t xml:space="preserve">Major Head Trauma Sum Insured will be 10% of the original Permanent Disability Capital Sum Insured or $20,000 whichever is lesser. The Insured Person suffers an Accidental head injury which is directly and independently of all other causes, within thirty (30) days of the date of the Accident.
</t>
  </si>
  <si>
    <t>Critical Income</t>
  </si>
  <si>
    <t>Pays an additional half percent of the Insured Person’s Capital Sum Insured or SGD5,000.00 per month, whichever is lesser, for a maximum of twelve (12) consecutive months to the surviving spouse or one surviving parent if the Insured Person suffers an Accidental Bodily Injury,  which directly and independently of all other causes, results in death.</t>
  </si>
  <si>
    <t>Terrorism Benefit</t>
  </si>
  <si>
    <t>Pays an additional 15% of capital sum insured or S$75,000, whichever is lesser in the event of Accidental Death resulting from Terrorism.</t>
  </si>
  <si>
    <t xml:space="preserve">Key-employee recruitment fees
</t>
  </si>
  <si>
    <t>Reimburse up to S$5,000 arising from death or permanent total disablement due to accidental bodily injury to Insured who is a member of Senior Management, for the recruitment of replacement necessary in the running of the Insured Person’s occupation.</t>
  </si>
  <si>
    <t xml:space="preserve">Trauma counseling benefit 
</t>
  </si>
  <si>
    <t>Reimburse up to S$1,000 per period of insurance to Insured Person or the insured’s spouse or dependent child or children if the Insured Person sustains death or Permanent Total
Disablement resulting from an Accidental bodily injury.</t>
  </si>
  <si>
    <t xml:space="preserve">Domestic Assistance </t>
  </si>
  <si>
    <t xml:space="preserve">Reimburse up to S$1,000 for the cost of assistance if the Insured Person sustains Bodily Injury resulting from an Accidental Bodily Injury, and is unable to carry out at least 3 of the 6 activities of Activities of Daily Living following hospitalization. 
</t>
  </si>
  <si>
    <t xml:space="preserve">Credit card indemnity </t>
  </si>
  <si>
    <t>Pays up to S$1,000 for Insured Person's credit card expenses if the Insured sustains death or total permanent disability due to an accidental bodily injury.
Includes Supplementary cards provided  to spouse and/or dependent children included.</t>
  </si>
  <si>
    <t>Non-elective surgery</t>
  </si>
  <si>
    <t xml:space="preserve">Reimburse up to S$5,000 for non-elective surgery, subject to the surgical expenses incurred not recoverable from any other source if the Insured Person sustains Permanent Total Disablement resulting from an Accidental bodily injury and is payable under 2. </t>
  </si>
  <si>
    <t>Physiotherapy costs</t>
  </si>
  <si>
    <t>Reimburse up to S$2,000 if the Insured Person sustains Permanent Total Disablement resulting from an Accidental bodily injury and is payable under 2.</t>
  </si>
  <si>
    <t>AGGREGATE LIMIT PER ACCIDENT</t>
  </si>
  <si>
    <t>As per total sum Insured</t>
  </si>
  <si>
    <t>List of exclusions:</t>
  </si>
  <si>
    <t>( a ) Suicide or any attempted suicide or self-inflicted injury or illness, whether the Insured Member is sane or insane;
( b ) War (declared or undeclared), hostilities, civil war or any warlike operations; military or naval or air-force service while under orders for warlike operations;
( c ) Participation in riot or commission of an assault or act of crime;
( d ) Participation in competitive racing of any kind other than on foot.</t>
  </si>
  <si>
    <t>EXTENSIONS</t>
  </si>
  <si>
    <t xml:space="preserve">Riot, Strike, Civil Commotion, Hijack, Murder &amp; Assault </t>
  </si>
  <si>
    <t xml:space="preserve">Terrorism Extension (including Nuclear, Chemical &amp; Biological means) </t>
  </si>
  <si>
    <t xml:space="preserve">Suffocation by Smoke, Poisonous Fumes, Gas &amp; Drowning </t>
  </si>
  <si>
    <t xml:space="preserve">Exposure &amp; Disappearance </t>
  </si>
  <si>
    <t xml:space="preserve">Reservist Training </t>
  </si>
  <si>
    <t>Passive War Endorsement</t>
  </si>
  <si>
    <t>Group Business Travel</t>
  </si>
  <si>
    <t>TZT8000161SN</t>
  </si>
  <si>
    <t>All full time &amp; permanent employees age 16 to 80 years old</t>
  </si>
  <si>
    <t>Upon employment</t>
  </si>
  <si>
    <t xml:space="preserve">Last entry age : </t>
  </si>
  <si>
    <t>Category / Name</t>
  </si>
  <si>
    <t>Usual Place of Residence 
( City, Country )</t>
  </si>
  <si>
    <t>*Total No. of employees per policy year</t>
  </si>
  <si>
    <t>Plan / Region</t>
  </si>
  <si>
    <t>Singapore</t>
  </si>
  <si>
    <t>Plan 1 / Worldwide</t>
  </si>
  <si>
    <t>Plan 3 / Worldwide</t>
  </si>
  <si>
    <t>Policyholder(s) Rated Together :</t>
  </si>
  <si>
    <t>Payment / Reimbursement up to benefit limit as per schedule of benefits</t>
  </si>
  <si>
    <t>SCHEDULE OF BENEFITS</t>
  </si>
  <si>
    <t>Plan 1</t>
  </si>
  <si>
    <t>Plan 3</t>
  </si>
  <si>
    <t>Accidental Death</t>
  </si>
  <si>
    <t>Accidental Death &amp; Permanent Disablement Benefit due to War</t>
  </si>
  <si>
    <t>Accidental Death Benefit due to Natural Catastrophe</t>
  </si>
  <si>
    <t>Accidental Death Benefit due to Gun Shot</t>
  </si>
  <si>
    <t>Comatose State Benefit</t>
  </si>
  <si>
    <t>Credit Card Indemnity</t>
  </si>
  <si>
    <r>
      <t xml:space="preserve">Dependent Child Assistance </t>
    </r>
    <r>
      <rPr>
        <i/>
        <sz val="10"/>
        <color indexed="8"/>
        <rFont val="Arial"/>
        <family val="2"/>
      </rPr>
      <t>(Pays $10,000 for each child)</t>
    </r>
  </si>
  <si>
    <t>Mobility Assistance</t>
  </si>
  <si>
    <t>Physiotherapy Costs</t>
  </si>
  <si>
    <t>Simple or Other Fractures</t>
  </si>
  <si>
    <t>Spouse/Partner Retraining Benefit</t>
  </si>
  <si>
    <t>Trauma Counseling Benefit</t>
  </si>
  <si>
    <t>Emergency Medical Evacuation &amp; Repatriation Expenses</t>
  </si>
  <si>
    <t>As-Charged</t>
  </si>
  <si>
    <t>Emergency Telephone Charges - up to</t>
  </si>
  <si>
    <t>Overseas Medical Expenses</t>
  </si>
  <si>
    <r>
      <t>- Return Medical Treatment Extension</t>
    </r>
    <r>
      <rPr>
        <i/>
        <sz val="10"/>
        <color indexed="8"/>
        <rFont val="Arial"/>
        <family val="2"/>
      </rPr>
      <t xml:space="preserve"> (maximum up to 90 days)</t>
    </r>
  </si>
  <si>
    <t>- Includes Treatment by Chinese Physician</t>
  </si>
  <si>
    <t>Injury Resulting in Surgery</t>
  </si>
  <si>
    <t>Injury resulting in Loss of Teeth or Dental Procedures</t>
  </si>
  <si>
    <t>Daily Hospital Benefit</t>
  </si>
  <si>
    <t>-Pays the Insured Person $250 per Day for confinement in hospital up to</t>
  </si>
  <si>
    <t>-Pays the Insured Person $500 per Day for ICU confinement in hospital up to</t>
  </si>
  <si>
    <t>Hospital Recuperation Benefit</t>
  </si>
  <si>
    <t>Overseas Compassionate Visit</t>
  </si>
  <si>
    <r>
      <t xml:space="preserve">Home Rehabilitation Allowance </t>
    </r>
    <r>
      <rPr>
        <sz val="10"/>
        <color indexed="8"/>
        <rFont val="Arial"/>
        <family val="2"/>
      </rPr>
      <t>($200 per day up to 30 days)</t>
    </r>
  </si>
  <si>
    <r>
      <t xml:space="preserve">Baggage Delay </t>
    </r>
    <r>
      <rPr>
        <sz val="10"/>
        <color indexed="8"/>
        <rFont val="Arial"/>
        <family val="2"/>
      </rPr>
      <t>(Pays $500 for the first 6 hours of delay, $250 for each next full 6 hours up to)</t>
    </r>
  </si>
  <si>
    <r>
      <t xml:space="preserve">Baggage and Business Property </t>
    </r>
    <r>
      <rPr>
        <sz val="10"/>
        <color indexed="8"/>
        <rFont val="Arial"/>
        <family val="2"/>
      </rPr>
      <t>(The maximum limit for any one article or pair or set of articles is up to $1,000)</t>
    </r>
  </si>
  <si>
    <t>Money or Travel Documents</t>
  </si>
  <si>
    <t>- Reimburses the Insured Person on the loss of money arising out of robbery, theft and burglary up to</t>
  </si>
  <si>
    <t>Credit Card Fraud</t>
  </si>
  <si>
    <t>Replacement of Keys and Locks</t>
  </si>
  <si>
    <t>Loss of Deposits</t>
  </si>
  <si>
    <t>Cancellation or Curtailment</t>
  </si>
  <si>
    <t>Travel Rearrangement</t>
  </si>
  <si>
    <t>Alternative Employee / Resumption of Assignment</t>
  </si>
  <si>
    <r>
      <rPr>
        <b/>
        <sz val="10"/>
        <color indexed="8"/>
        <rFont val="Arial"/>
        <family val="2"/>
      </rPr>
      <t>Travel Delay</t>
    </r>
    <r>
      <rPr>
        <sz val="10"/>
        <color indexed="8"/>
        <rFont val="Arial"/>
        <family val="2"/>
      </rPr>
      <t xml:space="preserve"> (Pays $250 for every 6 full consecutive hours of delay either at departure or arrival of the common carrier up to)</t>
    </r>
  </si>
  <si>
    <t>Missed Transport Connection</t>
  </si>
  <si>
    <t>- Pays for the use of alternative public transport to enable employee to arrive at their destination at the scheduled time for officially scheduled meeting or conference which cannot be delayed; OR</t>
  </si>
  <si>
    <t>- Pays $250 for every 6 full consecutive hours of delay when the Insured Person confirmed onward travel connection is missed at the transfer point overseas due to the late arrival of incoming connecting scheduled conveyance and there is no onward connection available; up to</t>
  </si>
  <si>
    <t>Overbooked Flight, Voyage or Train</t>
  </si>
  <si>
    <t>Flight Diversion</t>
  </si>
  <si>
    <t>- Pays $250 for every 6 full consecutive hours of delay if the scheduled flight on which the Insured Person is traveling is diverted to another destination due to adverse weather, bomb threat or other insured perils up to</t>
  </si>
  <si>
    <r>
      <t>Hijack and Detention</t>
    </r>
    <r>
      <rPr>
        <sz val="10"/>
        <color indexed="8"/>
        <rFont val="Arial"/>
        <family val="2"/>
      </rPr>
      <t xml:space="preserve"> (Pays $250 for every 6 hours of conveyance hijack or detention by lawful authority up to)</t>
    </r>
  </si>
  <si>
    <r>
      <t xml:space="preserve">Kidnap </t>
    </r>
    <r>
      <rPr>
        <sz val="10"/>
        <color indexed="8"/>
        <rFont val="Arial"/>
        <family val="2"/>
      </rPr>
      <t>(Pays $250 for every 6 full hours of kidnap up to)</t>
    </r>
  </si>
  <si>
    <t>Legal Expenses</t>
  </si>
  <si>
    <t>Bail Bond Arrangement</t>
  </si>
  <si>
    <t>Personal Liability</t>
  </si>
  <si>
    <t>Golf Extras</t>
  </si>
  <si>
    <t>Key Employee Recruitment Fees</t>
  </si>
  <si>
    <t>Missed Event</t>
  </si>
  <si>
    <t>Vehicle Excess Waiver</t>
  </si>
  <si>
    <t>-Regional</t>
  </si>
  <si>
    <t>-International</t>
  </si>
  <si>
    <t>Work Injury Compensation Act ( WICA )</t>
  </si>
  <si>
    <t>Allied World</t>
  </si>
  <si>
    <t>BWWCSB0126992500</t>
  </si>
  <si>
    <t>Any person who has a contract of service or apprenticeship upon joining</t>
  </si>
  <si>
    <t>Headcount</t>
  </si>
  <si>
    <t>Type</t>
  </si>
  <si>
    <t xml:space="preserve">Class 1  </t>
  </si>
  <si>
    <t xml:space="preserve">Professional and administrative duties of mainly sedentary nature, e.g. Accountants, Administrators, Architects, Auditors, Bankers, Clergymen, Clerks, Dentist, Indoor Sales Representatives, Lawyers, Merchants, Medical Practitioners, Secretaries, Stockbrokers, Surgeons (not veterinary) and Teachers                                                                                                                                                                                                                                     </t>
  </si>
  <si>
    <t xml:space="preserve">Class 2  </t>
  </si>
  <si>
    <t xml:space="preserve">Outdoor non-manual occupation or which involves occasional light manual work excluding the use of tools or machinery, e.g. Outdoor Salesmen, Civil Engineers, Commercial Travellers, Decorators (superintending), Grocers, Hairdressers, Pharmacists and Surveyors                                                                                              </t>
  </si>
  <si>
    <t>Class</t>
  </si>
  <si>
    <t>Wages (S$) up to</t>
  </si>
  <si>
    <t>Rate (%)</t>
  </si>
  <si>
    <t>Class 1</t>
  </si>
  <si>
    <t>Class 2</t>
  </si>
  <si>
    <t>* Estimated annual earnings</t>
  </si>
  <si>
    <t>Director / Admin</t>
  </si>
  <si>
    <t>Indoor Sales Representative</t>
  </si>
  <si>
    <t>(MIN. PREMIUM : SGD250.00 before GST )</t>
  </si>
  <si>
    <t xml:space="preserve">Payment according to the Work Injury Compensation Act Schedule for work accident arising out of and in the course of employment </t>
  </si>
  <si>
    <t>during working hours. Amount payable is based on salary, age &amp; seriousness as advised by Ministry of Manpower OR</t>
  </si>
  <si>
    <t xml:space="preserve">Indemnify against Common Law up to S$10,000,000 per occurrence including all costs and expenses incurred with the insurer's </t>
  </si>
  <si>
    <t>consent in defending any claim for damages.</t>
  </si>
  <si>
    <t>Section A - Work Injury Compensation Benefit</t>
  </si>
  <si>
    <t>Death</t>
  </si>
  <si>
    <t>From S$76,000 to S$225,000</t>
  </si>
  <si>
    <t>Permanent Total Disablement</t>
  </si>
  <si>
    <t>From S$97,000 to S$289,000</t>
  </si>
  <si>
    <t>Permanent Partial Disablement</t>
  </si>
  <si>
    <t>% of loss of earning capacity</t>
  </si>
  <si>
    <t>Temporary Disablement</t>
  </si>
  <si>
    <t>Paid medical leave up to maximum of 1 year 
Full amount of wages for 30 days of medical leave &amp; 120 days of hospitalisation leave thereafter 2/3 of wages for the remaining period of compensation</t>
  </si>
  <si>
    <t>Reimbursement of Hospital Fees &amp; Medical arising from work accident ( FOR TREATMENT IN SINGAPORE ONLY )</t>
  </si>
  <si>
    <t>Within 1 year from date of accident or up to a cap of S$100,000 whichever is reached earlier</t>
  </si>
  <si>
    <t>Section B - Common Law Liability</t>
  </si>
  <si>
    <t>Limit of Liability</t>
  </si>
  <si>
    <t>Up to S$10 million any one claim or series of claims arising out of one event</t>
  </si>
  <si>
    <t>Social &amp; Recreational Activities Clause (Singapore &amp; Malaysia). Sublimit S$50k per employee and S$500k in the aggregate.</t>
  </si>
  <si>
    <t>Travelling to/from work within Singapore and Malaysia. Sublimit S$25k per employee and S$250k in the aggregate. (i.e. no restriction on mode of transport)</t>
  </si>
  <si>
    <t>Notice of cancellation - As per MOM wordings</t>
  </si>
  <si>
    <t>Vocational Training Attachment</t>
  </si>
  <si>
    <t>Traditional Chinese Medicine Endorsement (Part of Medical Treatment expenses) - S$500 per accident and S$1,000 in the aggregate during the period of insurance</t>
  </si>
  <si>
    <t>Extension to cover employee based overseas / overseas medical expenses</t>
  </si>
  <si>
    <t>Repatriation Expenses Benefit - limit of S$5,000</t>
  </si>
  <si>
    <t>Funeral Expenses - limit of S2,000 per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</si>
</sst>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quot;$&quot;* #,##0.00_-;_-&quot;$&quot;* &quot;-&quot;??_-;_-@_-"/>
    <numFmt numFmtId="164" formatCode="&quot;$&quot;#,##0_);[Red]\(&quot;$&quot;#,##0\)"/>
    <numFmt numFmtId="165" formatCode="&quot;$&quot;#,##0.00_);\(&quot;$&quot;#,##0.00\)"/>
    <numFmt numFmtId="166" formatCode="_(&quot;$&quot;* #,##0.00_);_(&quot;$&quot;* \(#,##0.00\);_(&quot;$&quot;* &quot;-&quot;??_);_(@_)"/>
    <numFmt numFmtId="167" formatCode="&quot;$&quot;#,##0"/>
    <numFmt numFmtId="168" formatCode="&quot;$&quot;#,##0.00"/>
    <numFmt numFmtId="169" formatCode="0.000%"/>
    <numFmt numFmtId="170" formatCode="0.0000%"/>
    <numFmt numFmtId="171" formatCode="0_);\(\ 0\ \)"/>
  </numFmts>
  <fonts count="56">
    <font>
      <sz val="10"/>
      <name val="Arial"/>
    </font>
    <font>
      <sz val="10"/>
      <name val="Arial"/>
      <family val="2"/>
    </font>
    <font>
      <b/>
      <sz val="20"/>
      <name val="Arial"/>
      <family val="2"/>
    </font>
    <font>
      <b/>
      <i/>
      <sz val="10"/>
      <name val="Arial"/>
      <family val="2"/>
    </font>
    <font>
      <b/>
      <sz val="10"/>
      <name val="Arial"/>
      <family val="2"/>
    </font>
    <font>
      <sz val="10"/>
      <name val="Arial"/>
      <family val="2"/>
    </font>
    <font>
      <i/>
      <sz val="8"/>
      <name val="Arial"/>
      <family val="2"/>
    </font>
    <font>
      <b/>
      <sz val="8"/>
      <name val="Arial"/>
      <family val="2"/>
    </font>
    <font>
      <sz val="8"/>
      <name val="Arial"/>
      <family val="2"/>
    </font>
    <font>
      <sz val="20"/>
      <name val="Arial"/>
      <family val="2"/>
    </font>
    <font>
      <i/>
      <sz val="10"/>
      <name val="Arial"/>
      <family val="2"/>
    </font>
    <font>
      <sz val="10"/>
      <name val="Arial"/>
      <family val="2"/>
    </font>
    <font>
      <sz val="8"/>
      <name val="Arial"/>
      <family val="2"/>
    </font>
    <font>
      <sz val="72"/>
      <name val="Arial"/>
      <family val="2"/>
    </font>
    <font>
      <u/>
      <sz val="10"/>
      <name val="Arial"/>
      <family val="2"/>
    </font>
    <font>
      <sz val="10"/>
      <name val="Arial"/>
      <family val="2"/>
    </font>
    <font>
      <sz val="11"/>
      <name val="Times New Roman"/>
      <family val="1"/>
    </font>
    <font>
      <sz val="9"/>
      <name val="Arial"/>
      <family val="2"/>
    </font>
    <font>
      <sz val="10"/>
      <name val="MS Sans Serif"/>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0"/>
      <name val="Arial"/>
      <family val="2"/>
    </font>
    <font>
      <b/>
      <u/>
      <sz val="10"/>
      <name val="Arial"/>
      <family val="2"/>
    </font>
    <font>
      <sz val="12"/>
      <name val="Arial"/>
      <family val="2"/>
    </font>
    <font>
      <i/>
      <sz val="9"/>
      <name val="Arial"/>
      <family val="2"/>
    </font>
    <font>
      <sz val="11"/>
      <name val="Calibri"/>
      <family val="2"/>
    </font>
    <font>
      <b/>
      <sz val="9"/>
      <name val="Arial"/>
      <family val="2"/>
    </font>
    <font>
      <b/>
      <u/>
      <sz val="11"/>
      <name val="Calibri"/>
      <family val="2"/>
    </font>
    <font>
      <i/>
      <sz val="10"/>
      <color indexed="8"/>
      <name val="Arial"/>
      <family val="2"/>
    </font>
    <font>
      <b/>
      <sz val="10"/>
      <color indexed="8"/>
      <name val="Arial"/>
      <family val="2"/>
    </font>
    <font>
      <sz val="10"/>
      <color indexed="8"/>
      <name val="Arial"/>
      <family val="2"/>
    </font>
    <font>
      <b/>
      <i/>
      <sz val="9"/>
      <name val="Arial"/>
      <family val="2"/>
    </font>
    <font>
      <sz val="10"/>
      <color rgb="FFFF0000"/>
      <name val="Arial"/>
      <family val="2"/>
    </font>
    <font>
      <b/>
      <sz val="11"/>
      <name val="Calibri"/>
      <family val="2"/>
      <scheme val="minor"/>
    </font>
    <font>
      <b/>
      <sz val="11"/>
      <color rgb="FF000000"/>
      <name val="Calibri"/>
      <family val="2"/>
      <scheme val="minor"/>
    </font>
    <font>
      <sz val="11"/>
      <name val="Calibri"/>
      <family val="2"/>
      <scheme val="minor"/>
    </font>
    <font>
      <b/>
      <sz val="10"/>
      <color rgb="FF000000"/>
      <name val="Arial"/>
      <family val="2"/>
    </font>
    <font>
      <sz val="10"/>
      <color rgb="FF000000"/>
      <name val="Arial"/>
      <family val="2"/>
    </font>
    <font>
      <sz val="10"/>
      <color theme="1"/>
      <name val="Arial"/>
      <family val="2"/>
    </font>
    <font>
      <b/>
      <u/>
      <sz val="10"/>
      <color theme="1"/>
      <name val="Arial"/>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9CCFF"/>
        <bgColor indexed="64"/>
      </patternFill>
    </fill>
    <fill>
      <patternFill patternType="solid">
        <fgColor theme="8" tint="0.39997558519241921"/>
        <bgColor indexed="64"/>
      </patternFill>
    </fill>
    <fill>
      <patternFill patternType="solid">
        <fgColor rgb="FFFFFF00"/>
        <bgColor indexed="64"/>
      </patternFill>
    </fill>
  </fills>
  <borders count="3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diagonal/>
    </border>
    <border>
      <left style="thick">
        <color indexed="64"/>
      </left>
      <right style="thin">
        <color indexed="64"/>
      </right>
      <top style="thin">
        <color indexed="64"/>
      </top>
      <bottom/>
      <diagonal/>
    </border>
    <border>
      <left style="thin">
        <color indexed="64"/>
      </left>
      <right style="thick">
        <color indexed="64"/>
      </right>
      <top/>
      <bottom style="thin">
        <color indexed="64"/>
      </bottom>
      <diagonal/>
    </border>
    <border>
      <left style="thick">
        <color indexed="64"/>
      </left>
      <right style="thin">
        <color indexed="64"/>
      </right>
      <top/>
      <bottom style="thin">
        <color indexed="64"/>
      </bottom>
      <diagonal/>
    </border>
  </borders>
  <cellStyleXfs count="60">
    <xf numFmtId="0" fontId="0" fillId="0" borderId="0" quotePrefix="1">
      <alignment horizontal="justify" vertical="justify" wrapText="1"/>
      <protection hidden="1"/>
    </xf>
    <xf numFmtId="0" fontId="19" fillId="2" borderId="0" applyNumberFormat="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5" borderId="0" applyNumberFormat="0" applyBorder="0" applyAlignment="0" applyProtection="0"/>
    <xf numFmtId="0" fontId="19" fillId="8" borderId="0" applyNumberFormat="0" applyBorder="0" applyAlignment="0" applyProtection="0"/>
    <xf numFmtId="0" fontId="19" fillId="11" borderId="0" applyNumberFormat="0" applyBorder="0" applyAlignment="0" applyProtection="0"/>
    <xf numFmtId="0" fontId="20" fillId="12"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19" borderId="0" applyNumberFormat="0" applyBorder="0" applyAlignment="0" applyProtection="0"/>
    <xf numFmtId="0" fontId="21" fillId="3" borderId="0" applyNumberFormat="0" applyBorder="0" applyAlignment="0" applyProtection="0"/>
    <xf numFmtId="0" fontId="15" fillId="0" borderId="0" quotePrefix="1">
      <alignment horizontal="justify" vertical="justify" wrapText="1"/>
      <protection hidden="1"/>
    </xf>
    <xf numFmtId="0" fontId="5" fillId="0" borderId="0" quotePrefix="1">
      <alignment horizontal="justify" vertical="justify" wrapText="1"/>
      <protection hidden="1"/>
    </xf>
    <xf numFmtId="0" fontId="5" fillId="0" borderId="0" quotePrefix="1">
      <alignment horizontal="justify" vertical="justify" wrapText="1"/>
      <protection hidden="1"/>
    </xf>
    <xf numFmtId="0" fontId="22" fillId="20" borderId="1" applyNumberFormat="0" applyAlignment="0" applyProtection="0"/>
    <xf numFmtId="0" fontId="23" fillId="21" borderId="2" applyNumberFormat="0" applyAlignment="0" applyProtection="0"/>
    <xf numFmtId="166" fontId="1" fillId="0" borderId="0" applyFont="0" applyFill="0" applyBorder="0" applyAlignment="0" applyProtection="0"/>
    <xf numFmtId="166" fontId="5" fillId="0" borderId="0" applyFont="0" applyFill="0" applyBorder="0" applyAlignment="0" applyProtection="0"/>
    <xf numFmtId="44" fontId="8" fillId="0" borderId="0" applyFont="0" applyFill="0" applyBorder="0" applyAlignment="0" applyProtection="0"/>
    <xf numFmtId="0" fontId="24" fillId="0" borderId="0" applyNumberFormat="0" applyFill="0" applyBorder="0" applyAlignment="0" applyProtection="0"/>
    <xf numFmtId="0" fontId="25" fillId="4" borderId="0" applyNumberFormat="0" applyBorder="0" applyAlignment="0" applyProtection="0"/>
    <xf numFmtId="0" fontId="26" fillId="0" borderId="3" applyNumberFormat="0" applyFill="0" applyAlignment="0" applyProtection="0"/>
    <xf numFmtId="0" fontId="27" fillId="0" borderId="4" applyNumberFormat="0" applyFill="0" applyAlignment="0" applyProtection="0"/>
    <xf numFmtId="0" fontId="28" fillId="0" borderId="5" applyNumberFormat="0" applyFill="0" applyAlignment="0" applyProtection="0"/>
    <xf numFmtId="0" fontId="28" fillId="0" borderId="0" applyNumberFormat="0" applyFill="0" applyBorder="0" applyAlignment="0" applyProtection="0"/>
    <xf numFmtId="0" fontId="29" fillId="7" borderId="1" applyNumberFormat="0" applyAlignment="0" applyProtection="0"/>
    <xf numFmtId="0" fontId="30" fillId="0" borderId="6" applyNumberFormat="0" applyFill="0" applyAlignment="0" applyProtection="0"/>
    <xf numFmtId="0" fontId="31" fillId="22" borderId="0" applyNumberFormat="0" applyBorder="0" applyAlignment="0" applyProtection="0"/>
    <xf numFmtId="0" fontId="5" fillId="0" borderId="0"/>
    <xf numFmtId="0" fontId="5" fillId="0" borderId="0"/>
    <xf numFmtId="0" fontId="5" fillId="0" borderId="0" quotePrefix="1">
      <alignment horizontal="justify" vertical="justify" wrapText="1"/>
      <protection hidden="1"/>
    </xf>
    <xf numFmtId="0" fontId="5" fillId="0" borderId="0" quotePrefix="1">
      <alignment horizontal="justify" vertical="justify" wrapText="1"/>
      <protection hidden="1"/>
    </xf>
    <xf numFmtId="0" fontId="37" fillId="0" borderId="0"/>
    <xf numFmtId="0" fontId="16" fillId="0" borderId="0"/>
    <xf numFmtId="0" fontId="36" fillId="23" borderId="7" applyNumberFormat="0" applyFont="0" applyAlignment="0" applyProtection="0"/>
    <xf numFmtId="0" fontId="5" fillId="23" borderId="7" applyNumberFormat="0" applyFont="0" applyAlignment="0" applyProtection="0"/>
    <xf numFmtId="0" fontId="32" fillId="20" borderId="8" applyNumberFormat="0" applyAlignment="0" applyProtection="0"/>
    <xf numFmtId="9" fontId="1" fillId="0" borderId="0" applyFont="0" applyFill="0" applyBorder="0" applyAlignment="0" applyProtection="0"/>
    <xf numFmtId="9" fontId="8" fillId="0" borderId="0" applyFont="0" applyFill="0" applyBorder="0" applyAlignment="0" applyProtection="0"/>
    <xf numFmtId="0" fontId="18" fillId="0" borderId="0" applyNumberFormat="0" applyFont="0" applyFill="0" applyBorder="0" applyAlignment="0" applyProtection="0">
      <alignment horizontal="left"/>
    </xf>
    <xf numFmtId="15" fontId="18" fillId="0" borderId="0" applyFont="0" applyFill="0" applyBorder="0" applyAlignment="0" applyProtection="0"/>
    <xf numFmtId="4" fontId="18" fillId="0" borderId="0" applyFont="0" applyFill="0" applyBorder="0" applyAlignment="0" applyProtection="0"/>
    <xf numFmtId="0" fontId="33" fillId="0" borderId="0" applyNumberFormat="0" applyFill="0" applyBorder="0" applyAlignment="0" applyProtection="0"/>
    <xf numFmtId="0" fontId="34" fillId="0" borderId="9" applyNumberFormat="0" applyFill="0" applyAlignment="0" applyProtection="0"/>
    <xf numFmtId="0" fontId="35" fillId="0" borderId="0" applyNumberFormat="0" applyFill="0" applyBorder="0" applyAlignment="0" applyProtection="0"/>
  </cellStyleXfs>
  <cellXfs count="598">
    <xf numFmtId="0" fontId="0" fillId="0" borderId="0" xfId="0" applyAlignment="1" applyProtection="1"/>
    <xf numFmtId="0" fontId="2" fillId="0" borderId="0" xfId="26" applyFont="1" applyAlignment="1" applyProtection="1"/>
    <xf numFmtId="0" fontId="3" fillId="0" borderId="0" xfId="26" applyFont="1" applyAlignment="1" applyProtection="1"/>
    <xf numFmtId="0" fontId="4" fillId="0" borderId="0" xfId="26" applyFont="1" applyAlignment="1" applyProtection="1"/>
    <xf numFmtId="0" fontId="6" fillId="0" borderId="0" xfId="26" applyFont="1" applyAlignment="1" applyProtection="1">
      <alignment vertical="top"/>
    </xf>
    <xf numFmtId="0" fontId="5" fillId="0" borderId="0" xfId="26" applyFont="1" applyAlignment="1" applyProtection="1"/>
    <xf numFmtId="0" fontId="8" fillId="0" borderId="0" xfId="26" applyFont="1" applyAlignment="1" applyProtection="1"/>
    <xf numFmtId="0" fontId="5" fillId="0" borderId="0" xfId="26" applyFont="1" applyAlignment="1" applyProtection="1">
      <alignment vertical="top" wrapText="1"/>
    </xf>
    <xf numFmtId="0" fontId="5" fillId="0" borderId="0" xfId="26" applyFont="1" applyAlignment="1" applyProtection="1">
      <alignment vertical="top"/>
    </xf>
    <xf numFmtId="0" fontId="4" fillId="0" borderId="0" xfId="26" applyFont="1" applyAlignment="1" applyProtection="1">
      <alignment vertical="top"/>
    </xf>
    <xf numFmtId="0" fontId="8" fillId="0" borderId="0" xfId="26" applyFont="1" applyAlignment="1" applyProtection="1">
      <alignment vertical="top"/>
    </xf>
    <xf numFmtId="0" fontId="9" fillId="0" borderId="0" xfId="26" applyFont="1" applyAlignment="1" applyProtection="1">
      <alignment vertical="center"/>
    </xf>
    <xf numFmtId="0" fontId="5" fillId="0" borderId="0" xfId="26" applyFont="1" applyAlignment="1" applyProtection="1">
      <alignment vertical="center"/>
    </xf>
    <xf numFmtId="0" fontId="4" fillId="0" borderId="0" xfId="26" applyFont="1" applyAlignment="1" applyProtection="1">
      <alignment vertical="center"/>
    </xf>
    <xf numFmtId="0" fontId="4" fillId="0" borderId="10" xfId="26" applyFont="1" applyBorder="1" applyAlignment="1" applyProtection="1">
      <alignment horizontal="left" vertical="top"/>
    </xf>
    <xf numFmtId="0" fontId="4" fillId="0" borderId="24" xfId="26" applyFont="1" applyBorder="1" applyAlignment="1" applyProtection="1">
      <alignment horizontal="left" vertical="top"/>
    </xf>
    <xf numFmtId="0" fontId="4" fillId="0" borderId="24" xfId="26" applyFont="1" applyBorder="1" applyAlignment="1" applyProtection="1">
      <alignment horizontal="center" vertical="top"/>
    </xf>
    <xf numFmtId="0" fontId="4" fillId="0" borderId="14" xfId="26" applyFont="1" applyBorder="1" applyAlignment="1" applyProtection="1">
      <alignment vertical="top"/>
    </xf>
    <xf numFmtId="0" fontId="4" fillId="0" borderId="19" xfId="26" applyFont="1" applyBorder="1" applyAlignment="1" applyProtection="1">
      <alignment vertical="top"/>
    </xf>
    <xf numFmtId="0" fontId="4" fillId="0" borderId="0" xfId="26" applyFont="1" applyAlignment="1" applyProtection="1">
      <alignment vertical="top" wrapText="1"/>
    </xf>
    <xf numFmtId="0" fontId="4" fillId="0" borderId="19" xfId="26" applyFont="1" applyBorder="1" applyAlignment="1" applyProtection="1">
      <alignment vertical="top" wrapText="1"/>
    </xf>
    <xf numFmtId="0" fontId="4" fillId="0" borderId="10" xfId="26" applyFont="1" applyBorder="1" applyAlignment="1" applyProtection="1">
      <alignment vertical="top"/>
    </xf>
    <xf numFmtId="0" fontId="4" fillId="0" borderId="24" xfId="26" applyFont="1" applyBorder="1" applyAlignment="1" applyProtection="1">
      <alignment vertical="top"/>
    </xf>
    <xf numFmtId="0" fontId="4" fillId="0" borderId="0" xfId="26" applyFont="1" applyAlignment="1" applyProtection="1">
      <alignment horizontal="center" vertical="top"/>
    </xf>
    <xf numFmtId="0" fontId="4" fillId="0" borderId="17" xfId="26" applyFont="1" applyBorder="1" applyAlignment="1" applyProtection="1">
      <alignment vertical="top"/>
    </xf>
    <xf numFmtId="0" fontId="10" fillId="0" borderId="0" xfId="26" applyFont="1" applyAlignment="1" applyProtection="1">
      <alignment vertical="top"/>
    </xf>
    <xf numFmtId="3" fontId="10" fillId="0" borderId="0" xfId="26" applyNumberFormat="1" applyFont="1" applyAlignment="1" applyProtection="1">
      <alignment horizontal="center" vertical="top" wrapText="1"/>
    </xf>
    <xf numFmtId="0" fontId="4" fillId="0" borderId="18" xfId="26" applyFont="1" applyBorder="1" applyAlignment="1" applyProtection="1">
      <alignment vertical="top"/>
    </xf>
    <xf numFmtId="0" fontId="10" fillId="0" borderId="22" xfId="26" applyFont="1" applyBorder="1" applyAlignment="1" applyProtection="1">
      <alignment vertical="top"/>
    </xf>
    <xf numFmtId="0" fontId="10" fillId="0" borderId="24" xfId="26" applyFont="1" applyBorder="1" applyAlignment="1" applyProtection="1">
      <alignment vertical="top"/>
    </xf>
    <xf numFmtId="0" fontId="10" fillId="0" borderId="14" xfId="26" applyFont="1" applyBorder="1" applyAlignment="1" applyProtection="1">
      <alignment vertical="top"/>
    </xf>
    <xf numFmtId="0" fontId="4" fillId="0" borderId="22" xfId="26" applyFont="1" applyBorder="1" applyAlignment="1" applyProtection="1">
      <alignment vertical="top"/>
    </xf>
    <xf numFmtId="3" fontId="10" fillId="0" borderId="0" xfId="26" applyNumberFormat="1" applyFont="1" applyAlignment="1" applyProtection="1">
      <alignment horizontal="left" vertical="top" wrapText="1"/>
    </xf>
    <xf numFmtId="0" fontId="4" fillId="0" borderId="16" xfId="26" applyFont="1" applyBorder="1" applyAlignment="1" applyProtection="1">
      <alignment horizontal="left" vertical="top"/>
    </xf>
    <xf numFmtId="0" fontId="4" fillId="0" borderId="14" xfId="26" applyFont="1" applyBorder="1" applyAlignment="1" applyProtection="1">
      <alignment horizontal="left" vertical="top"/>
    </xf>
    <xf numFmtId="0" fontId="4" fillId="0" borderId="16" xfId="26" applyFont="1" applyBorder="1" applyAlignment="1" applyProtection="1">
      <alignment vertical="top" wrapText="1"/>
    </xf>
    <xf numFmtId="0" fontId="4" fillId="0" borderId="14" xfId="26" applyFont="1" applyBorder="1" applyAlignment="1" applyProtection="1">
      <alignment vertical="top" wrapText="1"/>
    </xf>
    <xf numFmtId="0" fontId="4" fillId="0" borderId="20" xfId="26" applyFont="1" applyBorder="1" applyAlignment="1" applyProtection="1">
      <alignment vertical="top" wrapText="1"/>
    </xf>
    <xf numFmtId="0" fontId="4" fillId="0" borderId="19" xfId="26" applyFont="1" applyBorder="1" applyAlignment="1" applyProtection="1">
      <alignment horizontal="left" vertical="top"/>
    </xf>
    <xf numFmtId="0" fontId="4" fillId="0" borderId="10" xfId="26" applyFont="1" applyBorder="1" applyAlignment="1" applyProtection="1">
      <alignment vertical="top" wrapText="1"/>
    </xf>
    <xf numFmtId="0" fontId="4" fillId="0" borderId="16" xfId="26" applyFont="1" applyBorder="1" applyAlignment="1" applyProtection="1">
      <alignment vertical="top"/>
    </xf>
    <xf numFmtId="0" fontId="4" fillId="0" borderId="0" xfId="26" applyFont="1" applyAlignment="1" applyProtection="1">
      <alignment horizontal="left" vertical="top"/>
    </xf>
    <xf numFmtId="0" fontId="11" fillId="0" borderId="0" xfId="26" applyFont="1" applyAlignment="1" applyProtection="1">
      <alignment vertical="top" wrapText="1"/>
    </xf>
    <xf numFmtId="0" fontId="11" fillId="0" borderId="0" xfId="26" applyFont="1" applyAlignment="1" applyProtection="1"/>
    <xf numFmtId="0" fontId="11" fillId="0" borderId="0" xfId="26" applyFont="1" applyAlignment="1" applyProtection="1">
      <alignment vertical="top"/>
    </xf>
    <xf numFmtId="0" fontId="4" fillId="0" borderId="17" xfId="26" applyFont="1" applyBorder="1" applyAlignment="1" applyProtection="1">
      <alignment horizontal="left" vertical="top"/>
    </xf>
    <xf numFmtId="0" fontId="1" fillId="0" borderId="0" xfId="26" applyFont="1" applyAlignment="1" applyProtection="1"/>
    <xf numFmtId="0" fontId="1" fillId="0" borderId="0" xfId="26" applyFont="1" applyAlignment="1" applyProtection="1">
      <alignment vertical="top"/>
    </xf>
    <xf numFmtId="0" fontId="4" fillId="0" borderId="19" xfId="26" applyFont="1" applyBorder="1" applyAlignment="1" applyProtection="1">
      <alignment horizontal="centerContinuous" vertical="top" wrapText="1"/>
    </xf>
    <xf numFmtId="0" fontId="4" fillId="0" borderId="18" xfId="26" applyFont="1" applyBorder="1" applyAlignment="1" applyProtection="1">
      <alignment horizontal="centerContinuous" vertical="top" wrapText="1"/>
    </xf>
    <xf numFmtId="0" fontId="0" fillId="0" borderId="0" xfId="26" applyFont="1" applyAlignment="1" applyProtection="1">
      <alignment vertical="top" wrapText="1"/>
    </xf>
    <xf numFmtId="0" fontId="8" fillId="0" borderId="0" xfId="26" applyFont="1" applyAlignment="1" applyProtection="1">
      <alignment horizontal="center" vertical="top"/>
    </xf>
    <xf numFmtId="0" fontId="4" fillId="0" borderId="19" xfId="26" applyFont="1" applyBorder="1" applyAlignment="1" applyProtection="1">
      <alignment horizontal="right" vertical="top" wrapText="1"/>
    </xf>
    <xf numFmtId="0" fontId="4" fillId="0" borderId="10" xfId="26" applyFont="1" applyBorder="1" applyAlignment="1" applyProtection="1">
      <alignment horizontal="center" vertical="top" wrapText="1"/>
    </xf>
    <xf numFmtId="0" fontId="4" fillId="0" borderId="23" xfId="26" applyFont="1" applyBorder="1" applyAlignment="1" applyProtection="1">
      <alignment horizontal="center" vertical="top"/>
    </xf>
    <xf numFmtId="0" fontId="4" fillId="0" borderId="12" xfId="26" applyFont="1" applyBorder="1" applyAlignment="1" applyProtection="1">
      <alignment horizontal="center" vertical="top"/>
    </xf>
    <xf numFmtId="0" fontId="4" fillId="0" borderId="16" xfId="26" applyFont="1" applyBorder="1" applyAlignment="1" applyProtection="1">
      <alignment horizontal="centerContinuous" vertical="top" wrapText="1"/>
    </xf>
    <xf numFmtId="0" fontId="4" fillId="0" borderId="17" xfId="26" applyFont="1" applyBorder="1" applyAlignment="1" applyProtection="1">
      <alignment horizontal="centerContinuous" vertical="top" wrapText="1"/>
    </xf>
    <xf numFmtId="0" fontId="4" fillId="0" borderId="19" xfId="26" applyFont="1" applyBorder="1" applyAlignment="1" applyProtection="1">
      <alignment horizontal="right" vertical="top"/>
    </xf>
    <xf numFmtId="171" fontId="4" fillId="0" borderId="19" xfId="26" applyNumberFormat="1" applyFont="1" applyBorder="1" applyAlignment="1" applyProtection="1">
      <alignment vertical="top"/>
    </xf>
    <xf numFmtId="171" fontId="4" fillId="0" borderId="19" xfId="26" applyNumberFormat="1" applyFont="1" applyBorder="1" applyAlignment="1" applyProtection="1">
      <alignment horizontal="right" vertical="top"/>
    </xf>
    <xf numFmtId="0" fontId="10" fillId="0" borderId="18" xfId="26" applyFont="1" applyBorder="1" applyAlignment="1" applyProtection="1">
      <alignment vertical="top"/>
    </xf>
    <xf numFmtId="0" fontId="10" fillId="0" borderId="0" xfId="26" applyFont="1" applyAlignment="1" applyProtection="1">
      <alignment horizontal="centerContinuous" vertical="top" wrapText="1"/>
    </xf>
    <xf numFmtId="0" fontId="2" fillId="0" borderId="0" xfId="26" applyFont="1" applyAlignment="1" applyProtection="1">
      <alignment vertical="top"/>
    </xf>
    <xf numFmtId="0" fontId="3" fillId="0" borderId="0" xfId="26" applyFont="1" applyAlignment="1" applyProtection="1">
      <alignment vertical="top"/>
    </xf>
    <xf numFmtId="0" fontId="9" fillId="0" borderId="0" xfId="26" applyFont="1" applyAlignment="1" applyProtection="1">
      <alignment vertical="top"/>
    </xf>
    <xf numFmtId="0" fontId="4" fillId="0" borderId="21" xfId="26" applyFont="1" applyBorder="1" applyAlignment="1" applyProtection="1">
      <alignment vertical="top"/>
    </xf>
    <xf numFmtId="0" fontId="4" fillId="0" borderId="11" xfId="26" applyFont="1" applyBorder="1" applyAlignment="1" applyProtection="1">
      <alignment horizontal="left" vertical="top"/>
    </xf>
    <xf numFmtId="3" fontId="4" fillId="0" borderId="16" xfId="26" applyNumberFormat="1" applyFont="1" applyBorder="1" applyAlignment="1" applyProtection="1">
      <alignment horizontal="right" vertical="top" wrapText="1"/>
    </xf>
    <xf numFmtId="0" fontId="4" fillId="0" borderId="23" xfId="26" applyFont="1" applyBorder="1" applyAlignment="1" applyProtection="1">
      <alignment horizontal="centerContinuous" vertical="top" wrapText="1"/>
    </xf>
    <xf numFmtId="0" fontId="4" fillId="0" borderId="11" xfId="26" applyFont="1" applyBorder="1" applyAlignment="1" applyProtection="1">
      <alignment horizontal="centerContinuous" vertical="top" wrapText="1"/>
    </xf>
    <xf numFmtId="0" fontId="7" fillId="0" borderId="0" xfId="26" applyFont="1" applyAlignment="1">
      <alignment horizontal="left" vertical="top"/>
      <protection hidden="1"/>
    </xf>
    <xf numFmtId="0" fontId="4" fillId="0" borderId="12" xfId="26" applyFont="1" applyBorder="1" applyAlignment="1">
      <alignment horizontal="centerContinuous" vertical="top" wrapText="1"/>
      <protection hidden="1"/>
    </xf>
    <xf numFmtId="0" fontId="4" fillId="0" borderId="19" xfId="26" applyFont="1" applyBorder="1" applyAlignment="1">
      <alignment horizontal="center" vertical="top"/>
      <protection hidden="1"/>
    </xf>
    <xf numFmtId="0" fontId="4" fillId="0" borderId="0" xfId="26" applyFont="1" applyAlignment="1">
      <alignment vertical="top"/>
      <protection hidden="1"/>
    </xf>
    <xf numFmtId="0" fontId="14" fillId="0" borderId="0" xfId="26" applyFont="1" applyAlignment="1" applyProtection="1">
      <alignment vertical="top"/>
    </xf>
    <xf numFmtId="4" fontId="14" fillId="0" borderId="0" xfId="26" applyNumberFormat="1" applyFont="1" applyAlignment="1">
      <alignment vertical="top"/>
      <protection hidden="1"/>
    </xf>
    <xf numFmtId="3" fontId="4" fillId="0" borderId="10" xfId="26" applyNumberFormat="1" applyFont="1" applyBorder="1" applyAlignment="1">
      <alignment vertical="top" wrapText="1"/>
      <protection hidden="1"/>
    </xf>
    <xf numFmtId="4" fontId="4" fillId="0" borderId="24" xfId="26" applyNumberFormat="1" applyFont="1" applyBorder="1" applyAlignment="1">
      <alignment vertical="top"/>
      <protection hidden="1"/>
    </xf>
    <xf numFmtId="0" fontId="17" fillId="0" borderId="23" xfId="48" applyFont="1" applyBorder="1" applyAlignment="1">
      <alignment horizontal="left" vertical="top" wrapText="1"/>
    </xf>
    <xf numFmtId="0" fontId="17" fillId="0" borderId="12" xfId="48" applyFont="1" applyBorder="1" applyAlignment="1">
      <alignment horizontal="left" vertical="top" wrapText="1"/>
    </xf>
    <xf numFmtId="0" fontId="2" fillId="0" borderId="0" xfId="27" applyFont="1" applyAlignment="1" applyProtection="1">
      <alignment vertical="top"/>
    </xf>
    <xf numFmtId="0" fontId="5" fillId="0" borderId="0" xfId="27" applyAlignment="1" applyProtection="1">
      <alignment vertical="top"/>
    </xf>
    <xf numFmtId="0" fontId="3" fillId="0" borderId="0" xfId="27" applyFont="1" applyAlignment="1" applyProtection="1">
      <alignment vertical="top"/>
    </xf>
    <xf numFmtId="0" fontId="5" fillId="0" borderId="0" xfId="27" applyAlignment="1" applyProtection="1"/>
    <xf numFmtId="0" fontId="4" fillId="0" borderId="0" xfId="27" applyFont="1" applyAlignment="1" applyProtection="1">
      <alignment vertical="top"/>
    </xf>
    <xf numFmtId="0" fontId="5" fillId="0" borderId="0" xfId="27" applyAlignment="1" applyProtection="1">
      <alignment vertical="top" wrapText="1"/>
    </xf>
    <xf numFmtId="0" fontId="5" fillId="0" borderId="0" xfId="27" applyAlignment="1" applyProtection="1">
      <alignment horizontal="left" vertical="top"/>
    </xf>
    <xf numFmtId="0" fontId="5" fillId="0" borderId="19" xfId="27" applyBorder="1" applyAlignment="1" applyProtection="1">
      <alignment vertical="top"/>
    </xf>
    <xf numFmtId="0" fontId="5" fillId="0" borderId="0" xfId="27" applyAlignment="1" applyProtection="1">
      <alignment horizontal="center" vertical="top"/>
    </xf>
    <xf numFmtId="0" fontId="8" fillId="0" borderId="0" xfId="27" applyFont="1" applyAlignment="1" applyProtection="1">
      <alignment vertical="top"/>
    </xf>
    <xf numFmtId="167" fontId="5" fillId="0" borderId="0" xfId="27" quotePrefix="1" applyNumberFormat="1" applyAlignment="1" applyProtection="1">
      <alignment horizontal="left" vertical="top"/>
    </xf>
    <xf numFmtId="0" fontId="4" fillId="0" borderId="10" xfId="27" applyFont="1" applyBorder="1" applyAlignment="1" applyProtection="1">
      <alignment horizontal="left" vertical="top"/>
    </xf>
    <xf numFmtId="0" fontId="4" fillId="0" borderId="24" xfId="27" applyFont="1" applyBorder="1" applyAlignment="1" applyProtection="1">
      <alignment horizontal="left" vertical="top"/>
    </xf>
    <xf numFmtId="0" fontId="4" fillId="0" borderId="24" xfId="27" applyFont="1" applyBorder="1" applyAlignment="1" applyProtection="1">
      <alignment horizontal="center" vertical="top"/>
    </xf>
    <xf numFmtId="0" fontId="4" fillId="0" borderId="11" xfId="27" applyFont="1" applyBorder="1" applyAlignment="1" applyProtection="1">
      <alignment horizontal="center" vertical="top"/>
    </xf>
    <xf numFmtId="0" fontId="4" fillId="0" borderId="16" xfId="27" applyFont="1" applyBorder="1" applyAlignment="1" applyProtection="1">
      <alignment vertical="top"/>
    </xf>
    <xf numFmtId="0" fontId="4" fillId="0" borderId="14" xfId="27" applyFont="1" applyBorder="1" applyAlignment="1" applyProtection="1">
      <alignment vertical="top"/>
    </xf>
    <xf numFmtId="0" fontId="5" fillId="0" borderId="14" xfId="27" applyBorder="1" applyAlignment="1" applyProtection="1">
      <alignment vertical="top"/>
    </xf>
    <xf numFmtId="0" fontId="5" fillId="0" borderId="12" xfId="27" applyBorder="1" applyAlignment="1" applyProtection="1">
      <alignment horizontal="left" vertical="top" wrapText="1"/>
    </xf>
    <xf numFmtId="0" fontId="4" fillId="0" borderId="19" xfId="27" applyFont="1" applyBorder="1" applyAlignment="1" applyProtection="1">
      <alignment vertical="top"/>
    </xf>
    <xf numFmtId="0" fontId="5" fillId="0" borderId="12" xfId="27" applyBorder="1" applyAlignment="1" applyProtection="1">
      <alignment vertical="top"/>
    </xf>
    <xf numFmtId="0" fontId="5" fillId="0" borderId="12" xfId="27" applyBorder="1" applyAlignment="1" applyProtection="1">
      <alignment horizontal="left" vertical="top"/>
    </xf>
    <xf numFmtId="167" fontId="5" fillId="0" borderId="12" xfId="27" applyNumberFormat="1" applyBorder="1" applyAlignment="1" applyProtection="1">
      <alignment horizontal="left" vertical="top"/>
    </xf>
    <xf numFmtId="0" fontId="4" fillId="0" borderId="19" xfId="27" applyFont="1" applyBorder="1" applyAlignment="1" applyProtection="1">
      <alignment vertical="top" wrapText="1"/>
    </xf>
    <xf numFmtId="0" fontId="14" fillId="0" borderId="12" xfId="27" applyFont="1" applyBorder="1" applyAlignment="1" applyProtection="1">
      <alignment horizontal="left" vertical="top" wrapText="1"/>
    </xf>
    <xf numFmtId="0" fontId="17" fillId="0" borderId="12" xfId="27" applyFont="1" applyBorder="1" applyAlignment="1" applyProtection="1">
      <alignment horizontal="left" vertical="top" wrapText="1"/>
    </xf>
    <xf numFmtId="0" fontId="4" fillId="0" borderId="0" xfId="27" applyFont="1" applyAlignment="1" applyProtection="1">
      <alignment vertical="top" wrapText="1"/>
    </xf>
    <xf numFmtId="0" fontId="5" fillId="0" borderId="19" xfId="27" applyBorder="1" applyAlignment="1" applyProtection="1">
      <alignment horizontal="right" vertical="top" wrapText="1"/>
    </xf>
    <xf numFmtId="0" fontId="5" fillId="0" borderId="0" xfId="27" applyAlignment="1" applyProtection="1">
      <alignment horizontal="left" vertical="top" wrapText="1"/>
    </xf>
    <xf numFmtId="0" fontId="4" fillId="0" borderId="19" xfId="27" applyFont="1" applyBorder="1" applyAlignment="1" applyProtection="1">
      <alignment horizontal="right" vertical="top" wrapText="1"/>
    </xf>
    <xf numFmtId="0" fontId="4" fillId="0" borderId="0" xfId="27" applyFont="1" applyAlignment="1" applyProtection="1">
      <alignment horizontal="left" vertical="top"/>
    </xf>
    <xf numFmtId="0" fontId="5" fillId="0" borderId="12" xfId="27" applyBorder="1" applyAlignment="1" applyProtection="1">
      <alignment horizontal="center" vertical="top"/>
    </xf>
    <xf numFmtId="0" fontId="5" fillId="0" borderId="19" xfId="27" applyBorder="1" applyAlignment="1">
      <alignment horizontal="right" vertical="top" wrapText="1"/>
      <protection hidden="1"/>
    </xf>
    <xf numFmtId="0" fontId="4" fillId="0" borderId="19" xfId="26" applyFont="1" applyBorder="1" applyAlignment="1" applyProtection="1">
      <alignment horizontal="center" vertical="top" wrapText="1"/>
    </xf>
    <xf numFmtId="0" fontId="13" fillId="0" borderId="12" xfId="26" applyFont="1" applyBorder="1" applyAlignment="1" applyProtection="1">
      <alignment horizontal="center" vertical="top" wrapText="1"/>
    </xf>
    <xf numFmtId="4" fontId="4" fillId="0" borderId="19" xfId="26" applyNumberFormat="1" applyFont="1" applyBorder="1" applyAlignment="1">
      <alignment vertical="top"/>
      <protection hidden="1"/>
    </xf>
    <xf numFmtId="0" fontId="48" fillId="0" borderId="0" xfId="27" applyFont="1" applyAlignment="1" applyProtection="1">
      <alignment horizontal="center" vertical="top"/>
    </xf>
    <xf numFmtId="0" fontId="4" fillId="0" borderId="11" xfId="27" applyFont="1" applyBorder="1" applyAlignment="1" applyProtection="1">
      <alignment horizontal="left" vertical="top"/>
    </xf>
    <xf numFmtId="0" fontId="4" fillId="0" borderId="16" xfId="27" applyFont="1" applyBorder="1" applyAlignment="1" applyProtection="1">
      <alignment horizontal="left" vertical="top"/>
    </xf>
    <xf numFmtId="0" fontId="4" fillId="0" borderId="14" xfId="27" applyFont="1" applyBorder="1" applyAlignment="1" applyProtection="1">
      <alignment horizontal="left" vertical="top"/>
    </xf>
    <xf numFmtId="0" fontId="4" fillId="0" borderId="14" xfId="27" applyFont="1" applyBorder="1" applyAlignment="1" applyProtection="1">
      <alignment horizontal="center" vertical="top"/>
    </xf>
    <xf numFmtId="0" fontId="4" fillId="0" borderId="12" xfId="27" applyFont="1" applyBorder="1" applyAlignment="1" applyProtection="1">
      <alignment horizontal="left" vertical="top"/>
    </xf>
    <xf numFmtId="0" fontId="4" fillId="0" borderId="16" xfId="27" applyFont="1" applyBorder="1" applyAlignment="1" applyProtection="1">
      <alignment vertical="top" wrapText="1"/>
    </xf>
    <xf numFmtId="0" fontId="5" fillId="0" borderId="14" xfId="27" applyBorder="1" applyAlignment="1" applyProtection="1">
      <alignment horizontal="left" vertical="top"/>
    </xf>
    <xf numFmtId="0" fontId="5" fillId="0" borderId="23" xfId="27" applyBorder="1" applyAlignment="1" applyProtection="1">
      <alignment vertical="top" wrapText="1"/>
    </xf>
    <xf numFmtId="0" fontId="5" fillId="0" borderId="12" xfId="27" applyBorder="1" applyAlignment="1" applyProtection="1">
      <alignment vertical="top" wrapText="1"/>
    </xf>
    <xf numFmtId="167" fontId="5" fillId="0" borderId="0" xfId="27" applyNumberFormat="1" applyAlignment="1" applyProtection="1">
      <alignment horizontal="left" vertical="top"/>
    </xf>
    <xf numFmtId="167" fontId="5" fillId="0" borderId="13" xfId="27" applyNumberFormat="1" applyBorder="1" applyAlignment="1" applyProtection="1">
      <alignment horizontal="left" vertical="top" wrapText="1"/>
    </xf>
    <xf numFmtId="0" fontId="5" fillId="0" borderId="0" xfId="44" applyAlignment="1">
      <alignment horizontal="right" vertical="top"/>
    </xf>
    <xf numFmtId="0" fontId="5" fillId="0" borderId="19" xfId="27" applyBorder="1" applyAlignment="1" applyProtection="1">
      <alignment horizontal="left" vertical="top"/>
    </xf>
    <xf numFmtId="0" fontId="4" fillId="0" borderId="20" xfId="27" applyFont="1" applyBorder="1" applyAlignment="1" applyProtection="1">
      <alignment vertical="top"/>
    </xf>
    <xf numFmtId="0" fontId="4" fillId="0" borderId="22" xfId="27" applyFont="1" applyBorder="1" applyAlignment="1" applyProtection="1">
      <alignment vertical="top"/>
    </xf>
    <xf numFmtId="0" fontId="5" fillId="0" borderId="22" xfId="27" applyBorder="1" applyAlignment="1" applyProtection="1">
      <alignment vertical="top"/>
    </xf>
    <xf numFmtId="167" fontId="5" fillId="0" borderId="22" xfId="27" applyNumberFormat="1" applyBorder="1" applyAlignment="1" applyProtection="1">
      <alignment horizontal="left" vertical="top"/>
    </xf>
    <xf numFmtId="4" fontId="48" fillId="0" borderId="0" xfId="26" applyNumberFormat="1" applyFont="1" applyAlignment="1" applyProtection="1">
      <alignment vertical="top"/>
    </xf>
    <xf numFmtId="0" fontId="5" fillId="0" borderId="12" xfId="27" applyBorder="1" applyAlignment="1">
      <alignment horizontal="left" vertical="top" wrapText="1"/>
      <protection hidden="1"/>
    </xf>
    <xf numFmtId="167" fontId="5" fillId="0" borderId="12" xfId="27" applyNumberFormat="1" applyBorder="1" applyAlignment="1">
      <alignment horizontal="left" vertical="top" wrapText="1"/>
      <protection hidden="1"/>
    </xf>
    <xf numFmtId="0" fontId="4" fillId="0" borderId="19" xfId="27" applyFont="1" applyBorder="1" applyAlignment="1" applyProtection="1">
      <alignment horizontal="right" vertical="top"/>
    </xf>
    <xf numFmtId="0" fontId="5" fillId="0" borderId="0" xfId="27" applyAlignment="1" applyProtection="1">
      <alignment vertical="center"/>
    </xf>
    <xf numFmtId="0" fontId="4" fillId="0" borderId="0" xfId="26" applyFont="1" applyAlignment="1">
      <alignment vertical="top" wrapText="1"/>
      <protection hidden="1"/>
    </xf>
    <xf numFmtId="0" fontId="48" fillId="0" borderId="0" xfId="26" applyFont="1" applyAlignment="1" applyProtection="1">
      <alignment horizontal="center" vertical="top"/>
    </xf>
    <xf numFmtId="0" fontId="5" fillId="0" borderId="10" xfId="27" applyBorder="1" applyAlignment="1" applyProtection="1">
      <alignment vertical="top"/>
    </xf>
    <xf numFmtId="0" fontId="5" fillId="0" borderId="24" xfId="27" applyBorder="1" applyAlignment="1" applyProtection="1">
      <alignment vertical="top"/>
    </xf>
    <xf numFmtId="0" fontId="4" fillId="0" borderId="11" xfId="26" applyFont="1" applyBorder="1" applyAlignment="1" applyProtection="1">
      <alignment horizontal="center" vertical="top"/>
    </xf>
    <xf numFmtId="3" fontId="10" fillId="0" borderId="19" xfId="26" applyNumberFormat="1" applyFont="1" applyBorder="1" applyAlignment="1" applyProtection="1">
      <alignment horizontal="center" vertical="top"/>
    </xf>
    <xf numFmtId="3" fontId="10" fillId="0" borderId="12" xfId="26" applyNumberFormat="1" applyFont="1" applyBorder="1" applyAlignment="1" applyProtection="1">
      <alignment horizontal="center" vertical="top"/>
    </xf>
    <xf numFmtId="3" fontId="10" fillId="0" borderId="10" xfId="26" applyNumberFormat="1" applyFont="1" applyBorder="1" applyAlignment="1" applyProtection="1">
      <alignment horizontal="center" vertical="top"/>
    </xf>
    <xf numFmtId="3" fontId="10" fillId="0" borderId="11" xfId="26" applyNumberFormat="1" applyFont="1" applyBorder="1" applyAlignment="1" applyProtection="1">
      <alignment horizontal="center" vertical="top"/>
    </xf>
    <xf numFmtId="0" fontId="4" fillId="0" borderId="16" xfId="26" applyFont="1" applyBorder="1" applyAlignment="1" applyProtection="1">
      <alignment horizontal="center" vertical="top"/>
    </xf>
    <xf numFmtId="164" fontId="5" fillId="0" borderId="12" xfId="27" applyNumberFormat="1" applyBorder="1" applyAlignment="1" applyProtection="1">
      <alignment horizontal="left" vertical="top"/>
    </xf>
    <xf numFmtId="0" fontId="4" fillId="0" borderId="23" xfId="26" applyFont="1" applyBorder="1" applyAlignment="1" applyProtection="1">
      <alignment horizontal="center" vertical="top" wrapText="1"/>
    </xf>
    <xf numFmtId="0" fontId="4" fillId="0" borderId="10" xfId="26" applyFont="1" applyBorder="1" applyAlignment="1" applyProtection="1">
      <alignment horizontal="center" vertical="top"/>
    </xf>
    <xf numFmtId="168" fontId="10" fillId="0" borderId="18" xfId="26" applyNumberFormat="1" applyFont="1" applyBorder="1" applyAlignment="1" applyProtection="1">
      <alignment horizontal="centerContinuous" vertical="top" wrapText="1"/>
    </xf>
    <xf numFmtId="168" fontId="4" fillId="0" borderId="18" xfId="26" applyNumberFormat="1" applyFont="1" applyBorder="1" applyAlignment="1" applyProtection="1">
      <alignment horizontal="centerContinuous" vertical="top" wrapText="1"/>
    </xf>
    <xf numFmtId="168" fontId="10" fillId="0" borderId="10" xfId="26" applyNumberFormat="1" applyFont="1" applyBorder="1" applyAlignment="1" applyProtection="1">
      <alignment horizontal="centerContinuous" vertical="top" wrapText="1"/>
    </xf>
    <xf numFmtId="168" fontId="10" fillId="0" borderId="15" xfId="26" applyNumberFormat="1" applyFont="1" applyBorder="1" applyAlignment="1">
      <alignment horizontal="centerContinuous" vertical="top" wrapText="1"/>
      <protection hidden="1"/>
    </xf>
    <xf numFmtId="0" fontId="4" fillId="0" borderId="15" xfId="27" applyFont="1" applyBorder="1" applyAlignment="1" applyProtection="1">
      <alignment horizontal="center" vertical="top"/>
    </xf>
    <xf numFmtId="0" fontId="10" fillId="0" borderId="0" xfId="27" applyFont="1" applyAlignment="1" applyProtection="1">
      <alignment vertical="top"/>
    </xf>
    <xf numFmtId="0" fontId="5" fillId="0" borderId="0" xfId="27" applyAlignment="1" applyProtection="1">
      <alignment horizontal="right" vertical="top"/>
    </xf>
    <xf numFmtId="0" fontId="17" fillId="0" borderId="0" xfId="27" applyFont="1" applyAlignment="1" applyProtection="1">
      <alignment vertical="top"/>
    </xf>
    <xf numFmtId="0" fontId="40" fillId="0" borderId="0" xfId="27" applyFont="1" applyAlignment="1" applyProtection="1">
      <alignment vertical="top"/>
    </xf>
    <xf numFmtId="0" fontId="17" fillId="0" borderId="0" xfId="27" applyFont="1" applyAlignment="1" applyProtection="1"/>
    <xf numFmtId="0" fontId="5" fillId="0" borderId="0" xfId="27" applyAlignment="1">
      <alignment vertical="top"/>
      <protection hidden="1"/>
    </xf>
    <xf numFmtId="0" fontId="4" fillId="0" borderId="15" xfId="26" applyFont="1" applyBorder="1" applyAlignment="1" applyProtection="1">
      <alignment vertical="top"/>
    </xf>
    <xf numFmtId="0" fontId="48" fillId="0" borderId="0" xfId="26" applyFont="1" applyAlignment="1" applyProtection="1">
      <alignment vertical="top"/>
    </xf>
    <xf numFmtId="3" fontId="5" fillId="0" borderId="11" xfId="27" applyNumberFormat="1" applyBorder="1" applyAlignment="1" applyProtection="1">
      <alignment horizontal="left" vertical="top"/>
    </xf>
    <xf numFmtId="0" fontId="0" fillId="0" borderId="0" xfId="27" applyFont="1" applyAlignment="1" applyProtection="1">
      <alignment vertical="top"/>
    </xf>
    <xf numFmtId="0" fontId="5" fillId="0" borderId="0" xfId="45" applyAlignment="1" applyProtection="1"/>
    <xf numFmtId="165" fontId="5" fillId="0" borderId="0" xfId="27" applyNumberFormat="1" applyAlignment="1" applyProtection="1">
      <alignment horizontal="left" vertical="top"/>
    </xf>
    <xf numFmtId="167" fontId="5" fillId="0" borderId="0" xfId="27" applyNumberFormat="1" applyAlignment="1">
      <alignment horizontal="left" vertical="top"/>
      <protection hidden="1"/>
    </xf>
    <xf numFmtId="0" fontId="42" fillId="0" borderId="0" xfId="27" applyFont="1" applyAlignment="1" applyProtection="1">
      <alignment vertical="top"/>
    </xf>
    <xf numFmtId="0" fontId="17" fillId="0" borderId="0" xfId="27" applyFont="1" applyAlignment="1" applyProtection="1">
      <alignment vertical="top" wrapText="1"/>
    </xf>
    <xf numFmtId="0" fontId="42" fillId="0" borderId="10" xfId="27" applyFont="1" applyBorder="1" applyAlignment="1" applyProtection="1">
      <alignment vertical="top"/>
    </xf>
    <xf numFmtId="0" fontId="17" fillId="0" borderId="24" xfId="27" applyFont="1" applyBorder="1" applyAlignment="1" applyProtection="1">
      <alignment vertical="top"/>
    </xf>
    <xf numFmtId="0" fontId="42" fillId="0" borderId="24" xfId="27" applyFont="1" applyBorder="1" applyAlignment="1" applyProtection="1">
      <alignment vertical="top"/>
    </xf>
    <xf numFmtId="0" fontId="42" fillId="0" borderId="10" xfId="27" applyFont="1" applyBorder="1" applyAlignment="1" applyProtection="1">
      <alignment horizontal="center" vertical="top" wrapText="1"/>
    </xf>
    <xf numFmtId="0" fontId="42" fillId="0" borderId="19" xfId="27" applyFont="1" applyBorder="1" applyAlignment="1" applyProtection="1">
      <alignment horizontal="right" vertical="top"/>
    </xf>
    <xf numFmtId="0" fontId="42" fillId="0" borderId="0" xfId="27" applyFont="1" applyAlignment="1" applyProtection="1">
      <alignment horizontal="left" vertical="top"/>
    </xf>
    <xf numFmtId="0" fontId="42" fillId="0" borderId="19" xfId="27" applyFont="1" applyBorder="1" applyAlignment="1" applyProtection="1">
      <alignment horizontal="center" vertical="top" wrapText="1"/>
    </xf>
    <xf numFmtId="0" fontId="42" fillId="0" borderId="19" xfId="27" applyFont="1" applyBorder="1" applyAlignment="1" applyProtection="1">
      <alignment vertical="top"/>
    </xf>
    <xf numFmtId="168" fontId="17" fillId="0" borderId="19" xfId="27" applyNumberFormat="1" applyFont="1" applyBorder="1" applyAlignment="1" applyProtection="1">
      <alignment horizontal="center" vertical="top" wrapText="1"/>
    </xf>
    <xf numFmtId="171" fontId="17" fillId="0" borderId="19" xfId="27" quotePrefix="1" applyNumberFormat="1" applyFont="1" applyBorder="1" applyAlignment="1" applyProtection="1">
      <alignment horizontal="right" vertical="top"/>
    </xf>
    <xf numFmtId="171" fontId="17" fillId="0" borderId="19" xfId="27" applyNumberFormat="1" applyFont="1" applyBorder="1" applyAlignment="1" applyProtection="1">
      <alignment horizontal="right" vertical="top"/>
    </xf>
    <xf numFmtId="0" fontId="17" fillId="0" borderId="10" xfId="27" applyFont="1" applyBorder="1" applyAlignment="1" applyProtection="1">
      <alignment vertical="top"/>
    </xf>
    <xf numFmtId="0" fontId="17" fillId="0" borderId="24" xfId="27" applyFont="1" applyBorder="1" applyAlignment="1" applyProtection="1">
      <alignment vertical="top" wrapText="1"/>
    </xf>
    <xf numFmtId="168" fontId="17" fillId="0" borderId="10" xfId="27" applyNumberFormat="1" applyFont="1" applyBorder="1" applyAlignment="1" applyProtection="1">
      <alignment horizontal="center" vertical="top" wrapText="1"/>
    </xf>
    <xf numFmtId="0" fontId="42" fillId="0" borderId="16" xfId="27" applyFont="1" applyBorder="1" applyAlignment="1" applyProtection="1">
      <alignment vertical="top"/>
    </xf>
    <xf numFmtId="0" fontId="42" fillId="0" borderId="14" xfId="27" applyFont="1" applyBorder="1" applyAlignment="1" applyProtection="1">
      <alignment vertical="top"/>
    </xf>
    <xf numFmtId="0" fontId="17" fillId="0" borderId="14" xfId="27" applyFont="1" applyBorder="1" applyAlignment="1" applyProtection="1">
      <alignment vertical="top" wrapText="1"/>
    </xf>
    <xf numFmtId="0" fontId="40" fillId="0" borderId="14" xfId="27" applyFont="1" applyBorder="1" applyAlignment="1" applyProtection="1">
      <alignment vertical="top"/>
    </xf>
    <xf numFmtId="168" fontId="17" fillId="0" borderId="16" xfId="27" applyNumberFormat="1" applyFont="1" applyBorder="1" applyAlignment="1" applyProtection="1">
      <alignment horizontal="center" vertical="top" wrapText="1"/>
    </xf>
    <xf numFmtId="0" fontId="40" fillId="0" borderId="10" xfId="27" applyFont="1" applyBorder="1" applyAlignment="1" applyProtection="1">
      <alignment horizontal="center" vertical="top" wrapText="1"/>
    </xf>
    <xf numFmtId="168" fontId="17" fillId="0" borderId="20" xfId="27" applyNumberFormat="1" applyFont="1" applyBorder="1" applyAlignment="1" applyProtection="1">
      <alignment horizontal="center" vertical="top" wrapText="1"/>
    </xf>
    <xf numFmtId="0" fontId="5" fillId="0" borderId="0" xfId="27" applyAlignment="1" applyProtection="1">
      <alignment horizontal="centerContinuous" vertical="top"/>
    </xf>
    <xf numFmtId="3" fontId="5" fillId="0" borderId="0" xfId="27" applyNumberFormat="1" applyAlignment="1" applyProtection="1">
      <alignment horizontal="center" vertical="top"/>
    </xf>
    <xf numFmtId="2" fontId="5" fillId="0" borderId="0" xfId="27" applyNumberFormat="1" applyAlignment="1" applyProtection="1">
      <alignment horizontal="center" vertical="top"/>
    </xf>
    <xf numFmtId="4" fontId="5" fillId="0" borderId="0" xfId="27" applyNumberFormat="1" applyAlignment="1" applyProtection="1">
      <alignment horizontal="center" vertical="top"/>
    </xf>
    <xf numFmtId="0" fontId="5" fillId="0" borderId="11" xfId="27" applyBorder="1" applyAlignment="1" applyProtection="1">
      <alignment vertical="top"/>
    </xf>
    <xf numFmtId="9" fontId="5" fillId="0" borderId="11" xfId="27" applyNumberFormat="1" applyBorder="1" applyAlignment="1" applyProtection="1">
      <alignment vertical="top"/>
    </xf>
    <xf numFmtId="0" fontId="43" fillId="0" borderId="11" xfId="0" applyFont="1" applyBorder="1" applyAlignment="1" applyProtection="1">
      <alignment vertical="center"/>
    </xf>
    <xf numFmtId="171" fontId="5" fillId="0" borderId="19" xfId="27" applyNumberFormat="1" applyBorder="1" applyAlignment="1" applyProtection="1">
      <alignment horizontal="right" vertical="top"/>
    </xf>
    <xf numFmtId="168" fontId="5" fillId="0" borderId="19" xfId="27" applyNumberFormat="1" applyBorder="1" applyAlignment="1" applyProtection="1">
      <alignment horizontal="centerContinuous" vertical="top" wrapText="1"/>
    </xf>
    <xf numFmtId="168" fontId="5" fillId="0" borderId="18" xfId="27" applyNumberFormat="1" applyBorder="1" applyAlignment="1" applyProtection="1">
      <alignment horizontal="centerContinuous" vertical="top" wrapText="1"/>
    </xf>
    <xf numFmtId="171" fontId="4" fillId="0" borderId="19" xfId="27" applyNumberFormat="1" applyFont="1" applyBorder="1" applyAlignment="1" applyProtection="1">
      <alignment horizontal="right" vertical="top"/>
    </xf>
    <xf numFmtId="0" fontId="5" fillId="0" borderId="18" xfId="27" applyBorder="1" applyAlignment="1" applyProtection="1">
      <alignment vertical="top" wrapText="1"/>
    </xf>
    <xf numFmtId="0" fontId="4" fillId="0" borderId="15" xfId="27" applyFont="1" applyBorder="1" applyAlignment="1" applyProtection="1">
      <alignment horizontal="left" vertical="top"/>
    </xf>
    <xf numFmtId="0" fontId="4" fillId="0" borderId="11" xfId="27" applyFont="1" applyBorder="1" applyAlignment="1" applyProtection="1">
      <alignment horizontal="center" vertical="center"/>
    </xf>
    <xf numFmtId="0" fontId="52" fillId="0" borderId="19" xfId="0" applyFont="1" applyBorder="1" applyAlignment="1">
      <alignment horizontal="left" vertical="center"/>
      <protection hidden="1"/>
    </xf>
    <xf numFmtId="3" fontId="53" fillId="0" borderId="0" xfId="0" applyNumberFormat="1" applyFont="1" applyAlignment="1">
      <alignment horizontal="justify" vertical="center" wrapText="1"/>
      <protection hidden="1"/>
    </xf>
    <xf numFmtId="3" fontId="53" fillId="0" borderId="23" xfId="0" applyNumberFormat="1" applyFont="1" applyBorder="1" applyAlignment="1">
      <alignment horizontal="center" vertical="center" wrapText="1"/>
      <protection hidden="1"/>
    </xf>
    <xf numFmtId="3" fontId="53" fillId="0" borderId="12" xfId="0" applyNumberFormat="1" applyFont="1" applyBorder="1" applyAlignment="1">
      <alignment horizontal="center" vertical="center" wrapText="1"/>
      <protection hidden="1"/>
    </xf>
    <xf numFmtId="0" fontId="53" fillId="0" borderId="0" xfId="0" applyFont="1" applyAlignment="1">
      <alignment vertical="center" wrapText="1"/>
      <protection hidden="1"/>
    </xf>
    <xf numFmtId="0" fontId="53" fillId="0" borderId="0" xfId="0" applyFont="1" applyAlignment="1">
      <alignment horizontal="justify" vertical="center" wrapText="1"/>
      <protection hidden="1"/>
    </xf>
    <xf numFmtId="3" fontId="53" fillId="0" borderId="22" xfId="0" applyNumberFormat="1" applyFont="1" applyBorder="1" applyAlignment="1">
      <alignment horizontal="justify" vertical="center" wrapText="1"/>
      <protection hidden="1"/>
    </xf>
    <xf numFmtId="0" fontId="53" fillId="0" borderId="19" xfId="0" quotePrefix="1" applyFont="1" applyBorder="1" applyAlignment="1">
      <alignment horizontal="left" vertical="center"/>
      <protection hidden="1"/>
    </xf>
    <xf numFmtId="0" fontId="53" fillId="0" borderId="20" xfId="0" quotePrefix="1" applyFont="1" applyBorder="1" applyAlignment="1">
      <alignment horizontal="left" vertical="center"/>
      <protection hidden="1"/>
    </xf>
    <xf numFmtId="3" fontId="53" fillId="0" borderId="13" xfId="0" applyNumberFormat="1" applyFont="1" applyBorder="1" applyAlignment="1">
      <alignment horizontal="center" vertical="center" wrapText="1"/>
      <protection hidden="1"/>
    </xf>
    <xf numFmtId="0" fontId="53" fillId="0" borderId="19" xfId="0" applyFont="1" applyBorder="1" applyAlignment="1">
      <alignment horizontal="center" vertical="center" wrapText="1"/>
      <protection hidden="1"/>
    </xf>
    <xf numFmtId="0" fontId="53" fillId="0" borderId="19" xfId="0" applyFont="1" applyBorder="1" applyAlignment="1">
      <alignment horizontal="left" vertical="center"/>
      <protection hidden="1"/>
    </xf>
    <xf numFmtId="0" fontId="47" fillId="0" borderId="0" xfId="27" applyFont="1" applyAlignment="1" applyProtection="1">
      <alignment vertical="top"/>
    </xf>
    <xf numFmtId="0" fontId="5" fillId="0" borderId="10" xfId="27" applyBorder="1" applyAlignment="1" applyProtection="1">
      <alignment horizontal="center" vertical="center"/>
    </xf>
    <xf numFmtId="0" fontId="5" fillId="0" borderId="15" xfId="27" applyBorder="1" applyAlignment="1" applyProtection="1">
      <alignment horizontal="center" vertical="center"/>
    </xf>
    <xf numFmtId="0" fontId="5" fillId="0" borderId="11" xfId="27" applyBorder="1" applyAlignment="1" applyProtection="1">
      <alignment horizontal="center" vertical="center"/>
    </xf>
    <xf numFmtId="0" fontId="5" fillId="0" borderId="23" xfId="27" applyBorder="1" applyAlignment="1" applyProtection="1">
      <alignment horizontal="center" vertical="center"/>
    </xf>
    <xf numFmtId="0" fontId="5" fillId="0" borderId="18" xfId="27" applyBorder="1" applyAlignment="1" applyProtection="1">
      <alignment horizontal="center" vertical="center"/>
    </xf>
    <xf numFmtId="0" fontId="5" fillId="0" borderId="12" xfId="27" applyBorder="1" applyAlignment="1" applyProtection="1">
      <alignment horizontal="center" vertical="center"/>
    </xf>
    <xf numFmtId="0" fontId="5" fillId="0" borderId="20" xfId="27" applyBorder="1" applyAlignment="1" applyProtection="1">
      <alignment horizontal="center" vertical="center"/>
    </xf>
    <xf numFmtId="0" fontId="5" fillId="0" borderId="21" xfId="27" applyBorder="1" applyAlignment="1" applyProtection="1">
      <alignment horizontal="center" vertical="center"/>
    </xf>
    <xf numFmtId="0" fontId="5" fillId="0" borderId="13" xfId="27" applyBorder="1" applyAlignment="1" applyProtection="1">
      <alignment horizontal="center" vertical="center"/>
    </xf>
    <xf numFmtId="0" fontId="5" fillId="0" borderId="11" xfId="27" applyBorder="1" applyAlignment="1" applyProtection="1">
      <alignment horizontal="center" vertical="center" wrapText="1"/>
    </xf>
    <xf numFmtId="0" fontId="5" fillId="0" borderId="17" xfId="27" applyBorder="1" applyAlignment="1" applyProtection="1">
      <alignment horizontal="center" vertical="center"/>
    </xf>
    <xf numFmtId="0" fontId="5" fillId="0" borderId="18" xfId="27" applyBorder="1" applyAlignment="1" applyProtection="1">
      <alignment horizontal="left" vertical="top" wrapText="1"/>
    </xf>
    <xf numFmtId="0" fontId="5" fillId="0" borderId="10" xfId="27" applyBorder="1" applyAlignment="1" applyProtection="1">
      <alignment horizontal="center" vertical="center" wrapText="1"/>
    </xf>
    <xf numFmtId="0" fontId="5" fillId="0" borderId="11" xfId="27" applyBorder="1" applyAlignment="1" applyProtection="1">
      <alignment horizontal="center" vertical="center" wrapText="1" shrinkToFit="1"/>
    </xf>
    <xf numFmtId="168" fontId="38" fillId="0" borderId="0" xfId="26" applyNumberFormat="1" applyFont="1" applyAlignment="1" applyProtection="1">
      <alignment vertical="top"/>
    </xf>
    <xf numFmtId="168" fontId="5" fillId="0" borderId="12" xfId="27" applyNumberFormat="1" applyBorder="1" applyAlignment="1" applyProtection="1">
      <alignment horizontal="center" vertical="center"/>
    </xf>
    <xf numFmtId="168" fontId="5" fillId="0" borderId="13" xfId="27" applyNumberFormat="1" applyBorder="1" applyAlignment="1" applyProtection="1">
      <alignment horizontal="center" vertical="center"/>
    </xf>
    <xf numFmtId="168" fontId="38" fillId="0" borderId="0" xfId="27" applyNumberFormat="1" applyFont="1" applyAlignment="1" applyProtection="1">
      <alignment vertical="top"/>
    </xf>
    <xf numFmtId="168" fontId="5" fillId="0" borderId="23" xfId="27" applyNumberFormat="1" applyBorder="1" applyAlignment="1" applyProtection="1">
      <alignment horizontal="center" vertical="center"/>
    </xf>
    <xf numFmtId="0" fontId="5" fillId="0" borderId="13" xfId="27" applyBorder="1" applyAlignment="1" applyProtection="1">
      <alignment horizontal="center" vertical="center" wrapText="1"/>
    </xf>
    <xf numFmtId="168" fontId="5" fillId="26" borderId="12" xfId="27" applyNumberFormat="1" applyFill="1" applyBorder="1" applyAlignment="1" applyProtection="1">
      <alignment horizontal="center" vertical="center"/>
    </xf>
    <xf numFmtId="168" fontId="5" fillId="26" borderId="13" xfId="27" applyNumberFormat="1" applyFill="1" applyBorder="1" applyAlignment="1" applyProtection="1">
      <alignment horizontal="center" vertical="center"/>
    </xf>
    <xf numFmtId="168" fontId="5" fillId="26" borderId="18" xfId="27" applyNumberFormat="1" applyFill="1" applyBorder="1" applyAlignment="1" applyProtection="1">
      <alignment horizontal="center" vertical="center"/>
    </xf>
    <xf numFmtId="168" fontId="38" fillId="26" borderId="0" xfId="27" applyNumberFormat="1" applyFont="1" applyFill="1" applyAlignment="1" applyProtection="1">
      <alignment vertical="top"/>
    </xf>
    <xf numFmtId="168" fontId="38" fillId="26" borderId="0" xfId="26" applyNumberFormat="1" applyFont="1" applyFill="1" applyAlignment="1" applyProtection="1">
      <alignment vertical="top"/>
    </xf>
    <xf numFmtId="0" fontId="4" fillId="0" borderId="19" xfId="26" applyFont="1" applyBorder="1" applyAlignment="1">
      <alignment vertical="top"/>
      <protection hidden="1"/>
    </xf>
    <xf numFmtId="0" fontId="4" fillId="0" borderId="15" xfId="26" applyFont="1" applyBorder="1" applyAlignment="1" applyProtection="1">
      <alignment horizontal="left" vertical="top"/>
    </xf>
    <xf numFmtId="0" fontId="10" fillId="0" borderId="21" xfId="26" applyFont="1" applyBorder="1" applyAlignment="1" applyProtection="1">
      <alignment vertical="top"/>
    </xf>
    <xf numFmtId="168" fontId="54" fillId="0" borderId="23" xfId="26" applyNumberFormat="1" applyFont="1" applyBorder="1" applyAlignment="1" applyProtection="1">
      <alignment horizontal="center" vertical="center"/>
    </xf>
    <xf numFmtId="168" fontId="54" fillId="0" borderId="13" xfId="26" applyNumberFormat="1" applyFont="1" applyBorder="1" applyAlignment="1" applyProtection="1">
      <alignment horizontal="center" vertical="center"/>
    </xf>
    <xf numFmtId="0" fontId="4" fillId="0" borderId="19" xfId="26" applyFont="1" applyBorder="1" applyAlignment="1" applyProtection="1">
      <alignment wrapText="1"/>
    </xf>
    <xf numFmtId="0" fontId="8" fillId="0" borderId="19" xfId="26" applyFont="1" applyBorder="1" applyAlignment="1" applyProtection="1"/>
    <xf numFmtId="0" fontId="1" fillId="0" borderId="19" xfId="26" applyFont="1" applyBorder="1" applyAlignment="1" applyProtection="1"/>
    <xf numFmtId="168" fontId="55" fillId="0" borderId="0" xfId="26" applyNumberFormat="1" applyFont="1" applyAlignment="1" applyProtection="1">
      <alignment vertical="top"/>
    </xf>
    <xf numFmtId="0" fontId="42" fillId="0" borderId="0" xfId="27" applyFont="1" applyAlignment="1" applyProtection="1">
      <alignment horizontal="center" vertical="top" wrapText="1"/>
    </xf>
    <xf numFmtId="0" fontId="42" fillId="0" borderId="0" xfId="27" applyFont="1" applyAlignment="1" applyProtection="1">
      <alignment vertical="top" wrapText="1"/>
    </xf>
    <xf numFmtId="168" fontId="17" fillId="0" borderId="0" xfId="27" applyNumberFormat="1" applyFont="1" applyAlignment="1" applyProtection="1">
      <alignment horizontal="center" vertical="top" wrapText="1"/>
    </xf>
    <xf numFmtId="0" fontId="40" fillId="0" borderId="0" xfId="27" applyFont="1" applyAlignment="1" applyProtection="1">
      <alignment horizontal="center" vertical="top" wrapText="1"/>
    </xf>
    <xf numFmtId="0" fontId="42" fillId="0" borderId="19" xfId="27" applyFont="1" applyBorder="1" applyAlignment="1" applyProtection="1">
      <alignment vertical="top" wrapText="1"/>
    </xf>
    <xf numFmtId="0" fontId="40" fillId="0" borderId="19" xfId="27" applyFont="1" applyBorder="1" applyAlignment="1" applyProtection="1">
      <alignment horizontal="center" vertical="top" wrapText="1"/>
    </xf>
    <xf numFmtId="168" fontId="55" fillId="0" borderId="0" xfId="26" applyNumberFormat="1" applyFont="1" applyAlignment="1" applyProtection="1">
      <alignment horizontal="left" vertical="top"/>
    </xf>
    <xf numFmtId="0" fontId="4" fillId="0" borderId="12" xfId="26" applyFont="1" applyBorder="1" applyAlignment="1">
      <alignment horizontal="centerContinuous" vertical="top"/>
      <protection hidden="1"/>
    </xf>
    <xf numFmtId="168" fontId="38" fillId="0" borderId="0" xfId="27" applyNumberFormat="1" applyFont="1" applyAlignment="1" applyProtection="1">
      <alignment horizontal="left" vertical="top"/>
    </xf>
    <xf numFmtId="0" fontId="5" fillId="0" borderId="20" xfId="27" applyBorder="1" applyAlignment="1" applyProtection="1">
      <alignment horizontal="right" vertical="top" wrapText="1"/>
    </xf>
    <xf numFmtId="0" fontId="5" fillId="0" borderId="13" xfId="27" applyBorder="1" applyAlignment="1" applyProtection="1">
      <alignment horizontal="left" vertical="top" wrapText="1"/>
    </xf>
    <xf numFmtId="0" fontId="5" fillId="0" borderId="16" xfId="27" applyBorder="1" applyAlignment="1" applyProtection="1">
      <alignment horizontal="right" vertical="top" wrapText="1"/>
    </xf>
    <xf numFmtId="0" fontId="5" fillId="0" borderId="23" xfId="27" applyBorder="1" applyAlignment="1" applyProtection="1">
      <alignment horizontal="left" vertical="top" wrapText="1"/>
    </xf>
    <xf numFmtId="0" fontId="5" fillId="0" borderId="16" xfId="27" applyBorder="1" applyAlignment="1">
      <alignment horizontal="right" vertical="top" wrapText="1"/>
      <protection hidden="1"/>
    </xf>
    <xf numFmtId="0" fontId="5" fillId="0" borderId="23" xfId="27" applyBorder="1" applyAlignment="1">
      <alignment horizontal="left" vertical="top" wrapText="1"/>
      <protection hidden="1"/>
    </xf>
    <xf numFmtId="0" fontId="5" fillId="0" borderId="14" xfId="27" applyBorder="1" applyAlignment="1" applyProtection="1">
      <alignment horizontal="center" vertical="center"/>
    </xf>
    <xf numFmtId="0" fontId="5" fillId="26" borderId="23" xfId="27" applyFill="1" applyBorder="1" applyAlignment="1" applyProtection="1">
      <alignment horizontal="center" vertical="center"/>
    </xf>
    <xf numFmtId="0" fontId="5" fillId="26" borderId="13" xfId="27" applyFill="1" applyBorder="1" applyAlignment="1" applyProtection="1">
      <alignment horizontal="center" vertical="center"/>
    </xf>
    <xf numFmtId="0" fontId="4" fillId="0" borderId="10" xfId="27" applyFont="1" applyBorder="1" applyAlignment="1" applyProtection="1">
      <alignment horizontal="center" vertical="center"/>
    </xf>
    <xf numFmtId="3" fontId="53" fillId="0" borderId="16" xfId="0" applyNumberFormat="1" applyFont="1" applyBorder="1" applyAlignment="1">
      <alignment horizontal="center" vertical="center" wrapText="1"/>
      <protection hidden="1"/>
    </xf>
    <xf numFmtId="3" fontId="53" fillId="0" borderId="19" xfId="0" applyNumberFormat="1" applyFont="1" applyBorder="1" applyAlignment="1">
      <alignment horizontal="center" vertical="center" wrapText="1"/>
      <protection hidden="1"/>
    </xf>
    <xf numFmtId="3" fontId="53" fillId="0" borderId="20" xfId="0" applyNumberFormat="1" applyFont="1" applyBorder="1" applyAlignment="1">
      <alignment horizontal="center" vertical="center" wrapText="1"/>
      <protection hidden="1"/>
    </xf>
    <xf numFmtId="3" fontId="53" fillId="0" borderId="0" xfId="0" applyNumberFormat="1" applyFont="1" applyAlignment="1">
      <alignment horizontal="center" vertical="center" wrapText="1"/>
      <protection hidden="1"/>
    </xf>
    <xf numFmtId="0" fontId="4" fillId="0" borderId="19" xfId="27" applyFont="1" applyBorder="1" applyAlignment="1" applyProtection="1">
      <alignment horizontal="center" vertical="center"/>
    </xf>
    <xf numFmtId="0" fontId="52" fillId="0" borderId="20" xfId="0" applyFont="1" applyBorder="1" applyAlignment="1">
      <alignment horizontal="left" vertical="center"/>
      <protection hidden="1"/>
    </xf>
    <xf numFmtId="0" fontId="52" fillId="0" borderId="16" xfId="0" applyFont="1" applyBorder="1" applyAlignment="1">
      <alignment horizontal="left" vertical="center"/>
      <protection hidden="1"/>
    </xf>
    <xf numFmtId="0" fontId="4" fillId="0" borderId="0" xfId="27" applyFont="1" applyAlignment="1" applyProtection="1">
      <alignment horizontal="left" vertical="top" wrapText="1"/>
    </xf>
    <xf numFmtId="0" fontId="4" fillId="0" borderId="17" xfId="27" applyFont="1" applyBorder="1" applyAlignment="1" applyProtection="1">
      <alignment horizontal="center" vertical="top"/>
    </xf>
    <xf numFmtId="0" fontId="5" fillId="0" borderId="18" xfId="27" applyBorder="1" applyAlignment="1" applyProtection="1">
      <alignment vertical="top"/>
    </xf>
    <xf numFmtId="0" fontId="4" fillId="0" borderId="18" xfId="27" applyFont="1" applyBorder="1" applyAlignment="1" applyProtection="1">
      <alignment horizontal="left" vertical="top" wrapText="1"/>
    </xf>
    <xf numFmtId="0" fontId="5" fillId="0" borderId="20" xfId="27" applyBorder="1" applyAlignment="1" applyProtection="1">
      <alignment vertical="top"/>
    </xf>
    <xf numFmtId="0" fontId="5" fillId="0" borderId="21" xfId="27" applyBorder="1" applyAlignment="1" applyProtection="1">
      <alignment vertical="top"/>
    </xf>
    <xf numFmtId="0" fontId="4" fillId="0" borderId="16" xfId="27" applyFont="1" applyBorder="1" applyAlignment="1" applyProtection="1">
      <alignment horizontal="center" vertical="top"/>
    </xf>
    <xf numFmtId="167" fontId="5" fillId="0" borderId="19" xfId="27" applyNumberFormat="1" applyBorder="1" applyAlignment="1" applyProtection="1">
      <alignment horizontal="left" vertical="top"/>
    </xf>
    <xf numFmtId="0" fontId="5" fillId="0" borderId="19" xfId="27" applyBorder="1" applyAlignment="1" applyProtection="1">
      <alignment horizontal="left" vertical="top" wrapText="1"/>
    </xf>
    <xf numFmtId="0" fontId="5" fillId="0" borderId="20" xfId="27" applyBorder="1" applyAlignment="1" applyProtection="1">
      <alignment horizontal="left" vertical="top"/>
    </xf>
    <xf numFmtId="168" fontId="5" fillId="26" borderId="23" xfId="27" applyNumberFormat="1" applyFill="1" applyBorder="1" applyAlignment="1" applyProtection="1">
      <alignment horizontal="center" vertical="center"/>
    </xf>
    <xf numFmtId="168" fontId="5" fillId="26" borderId="21" xfId="27" applyNumberFormat="1" applyFill="1" applyBorder="1" applyAlignment="1" applyProtection="1">
      <alignment horizontal="center" vertical="center"/>
    </xf>
    <xf numFmtId="170" fontId="5" fillId="0" borderId="23" xfId="27" applyNumberFormat="1" applyBorder="1" applyAlignment="1" applyProtection="1">
      <alignment horizontal="center" vertical="center"/>
    </xf>
    <xf numFmtId="170" fontId="5" fillId="0" borderId="13" xfId="27" applyNumberFormat="1" applyBorder="1" applyAlignment="1" applyProtection="1">
      <alignment horizontal="center" vertical="center"/>
    </xf>
    <xf numFmtId="0" fontId="49" fillId="24" borderId="11" xfId="0" applyFont="1" applyFill="1" applyBorder="1" applyAlignment="1" applyProtection="1">
      <alignment horizontal="center" vertical="center" wrapText="1"/>
    </xf>
    <xf numFmtId="0" fontId="50" fillId="24" borderId="11" xfId="0" applyFont="1" applyFill="1" applyBorder="1" applyAlignment="1" applyProtection="1">
      <alignment horizontal="center" vertical="center" wrapText="1"/>
    </xf>
    <xf numFmtId="0" fontId="51" fillId="0" borderId="11" xfId="0" applyFont="1" applyBorder="1" applyAlignment="1" applyProtection="1">
      <alignment horizontal="center" vertical="center" wrapText="1"/>
    </xf>
    <xf numFmtId="3" fontId="51" fillId="0" borderId="11" xfId="0" applyNumberFormat="1" applyFont="1" applyBorder="1" applyAlignment="1" applyProtection="1">
      <alignment horizontal="center" vertical="center"/>
    </xf>
    <xf numFmtId="169" fontId="51" fillId="0" borderId="11" xfId="0" applyNumberFormat="1" applyFont="1" applyBorder="1" applyAlignment="1" applyProtection="1">
      <alignment horizontal="center" vertical="center"/>
    </xf>
    <xf numFmtId="0" fontId="53" fillId="0" borderId="19" xfId="0" applyFont="1" applyBorder="1" applyAlignment="1">
      <alignment horizontal="justify" vertical="center" wrapText="1"/>
      <protection hidden="1"/>
    </xf>
    <xf numFmtId="3" fontId="53" fillId="0" borderId="18" xfId="0" applyNumberFormat="1" applyFont="1" applyBorder="1" applyAlignment="1">
      <alignment horizontal="center" vertical="center" wrapText="1"/>
      <protection hidden="1"/>
    </xf>
    <xf numFmtId="0" fontId="5" fillId="0" borderId="14" xfId="44" applyBorder="1" applyAlignment="1">
      <alignment horizontal="right" vertical="top"/>
    </xf>
    <xf numFmtId="0" fontId="1" fillId="26" borderId="14" xfId="27" applyFont="1" applyFill="1" applyBorder="1" applyAlignment="1" applyProtection="1">
      <alignment horizontal="center" vertical="center"/>
    </xf>
    <xf numFmtId="0" fontId="1" fillId="26" borderId="20" xfId="27" applyFont="1" applyFill="1" applyBorder="1" applyAlignment="1" applyProtection="1">
      <alignment horizontal="center" vertical="center"/>
    </xf>
    <xf numFmtId="0" fontId="4" fillId="0" borderId="20" xfId="26" applyFont="1" applyBorder="1" applyAlignment="1" applyProtection="1">
      <alignment vertical="top"/>
    </xf>
    <xf numFmtId="171" fontId="4" fillId="0" borderId="16" xfId="26" applyNumberFormat="1" applyFont="1" applyBorder="1" applyAlignment="1" applyProtection="1">
      <alignment horizontal="right" vertical="top"/>
    </xf>
    <xf numFmtId="168" fontId="10" fillId="0" borderId="21" xfId="26" applyNumberFormat="1" applyFont="1" applyBorder="1" applyAlignment="1" applyProtection="1">
      <alignment horizontal="centerContinuous" vertical="top" wrapText="1"/>
    </xf>
    <xf numFmtId="0" fontId="1" fillId="0" borderId="12" xfId="26" applyFont="1" applyBorder="1" applyAlignment="1" applyProtection="1">
      <alignment horizontal="center" vertical="center" wrapText="1"/>
    </xf>
    <xf numFmtId="0" fontId="1" fillId="0" borderId="0" xfId="27" applyFont="1" applyAlignment="1">
      <alignment vertical="top"/>
      <protection hidden="1"/>
    </xf>
    <xf numFmtId="0" fontId="1" fillId="0" borderId="0" xfId="27" applyFont="1" applyAlignment="1" applyProtection="1"/>
    <xf numFmtId="0" fontId="1" fillId="0" borderId="0" xfId="27" applyFont="1" applyAlignment="1" applyProtection="1">
      <alignment vertical="top"/>
    </xf>
    <xf numFmtId="0" fontId="4" fillId="0" borderId="14" xfId="26" applyFont="1" applyBorder="1" applyAlignment="1">
      <alignment vertical="top" wrapText="1"/>
      <protection hidden="1"/>
    </xf>
    <xf numFmtId="0" fontId="4" fillId="0" borderId="17" xfId="26" applyFont="1" applyBorder="1" applyAlignment="1">
      <alignment vertical="top" wrapText="1"/>
      <protection hidden="1"/>
    </xf>
    <xf numFmtId="0" fontId="4" fillId="0" borderId="0" xfId="26" applyFont="1" applyAlignment="1" applyProtection="1">
      <alignment horizontal="left" vertical="top" wrapText="1"/>
    </xf>
    <xf numFmtId="0" fontId="4" fillId="0" borderId="18" xfId="26" applyFont="1" applyBorder="1" applyAlignment="1" applyProtection="1">
      <alignment horizontal="left" vertical="top" wrapText="1"/>
    </xf>
    <xf numFmtId="0" fontId="4" fillId="0" borderId="0" xfId="27" applyFont="1" applyAlignment="1" applyProtection="1">
      <alignment vertical="top" wrapText="1"/>
    </xf>
    <xf numFmtId="0" fontId="4" fillId="0" borderId="14" xfId="26" applyFont="1" applyBorder="1" applyAlignment="1" applyProtection="1">
      <alignment horizontal="left" vertical="top"/>
    </xf>
    <xf numFmtId="0" fontId="4" fillId="0" borderId="17" xfId="26" applyFont="1" applyBorder="1" applyAlignment="1" applyProtection="1">
      <alignment horizontal="left" vertical="top"/>
    </xf>
    <xf numFmtId="0" fontId="4" fillId="0" borderId="0" xfId="26" applyFont="1" applyAlignment="1" applyProtection="1">
      <alignment horizontal="left" vertical="top"/>
    </xf>
    <xf numFmtId="0" fontId="4" fillId="0" borderId="18" xfId="26" applyFont="1" applyBorder="1" applyAlignment="1" applyProtection="1">
      <alignment horizontal="left" vertical="top"/>
    </xf>
    <xf numFmtId="0" fontId="5" fillId="0" borderId="10" xfId="27" applyBorder="1" applyAlignment="1" applyProtection="1">
      <alignment horizontal="center" vertical="center"/>
    </xf>
    <xf numFmtId="0" fontId="5" fillId="0" borderId="15" xfId="27" applyBorder="1" applyAlignment="1" applyProtection="1">
      <alignment horizontal="center" vertical="center"/>
    </xf>
    <xf numFmtId="0" fontId="4" fillId="0" borderId="14" xfId="27" applyFont="1" applyBorder="1" applyAlignment="1">
      <alignment vertical="top" wrapText="1"/>
      <protection hidden="1"/>
    </xf>
    <xf numFmtId="0" fontId="5" fillId="0" borderId="14" xfId="27" applyBorder="1" applyAlignment="1">
      <alignment vertical="top" wrapText="1"/>
      <protection hidden="1"/>
    </xf>
    <xf numFmtId="0" fontId="5" fillId="0" borderId="0" xfId="27" applyAlignment="1">
      <alignment vertical="top" wrapText="1"/>
      <protection hidden="1"/>
    </xf>
    <xf numFmtId="167" fontId="5" fillId="0" borderId="0" xfId="27" applyNumberFormat="1" applyAlignment="1" applyProtection="1">
      <alignment horizontal="left" vertical="top" wrapText="1"/>
    </xf>
    <xf numFmtId="0" fontId="5" fillId="0" borderId="0" xfId="27" applyAlignment="1" applyProtection="1">
      <alignment horizontal="left" vertical="top" wrapText="1"/>
    </xf>
    <xf numFmtId="0" fontId="5" fillId="0" borderId="16" xfId="27" applyBorder="1" applyAlignment="1" applyProtection="1">
      <alignment horizontal="center" vertical="center"/>
    </xf>
    <xf numFmtId="0" fontId="5" fillId="0" borderId="17" xfId="27" applyBorder="1" applyAlignment="1" applyProtection="1">
      <alignment horizontal="center" vertical="center"/>
    </xf>
    <xf numFmtId="0" fontId="5" fillId="0" borderId="20" xfId="27" applyBorder="1" applyAlignment="1" applyProtection="1">
      <alignment horizontal="center" vertical="center"/>
    </xf>
    <xf numFmtId="0" fontId="5" fillId="0" borderId="21" xfId="27" applyBorder="1" applyAlignment="1" applyProtection="1">
      <alignment horizontal="center" vertical="center"/>
    </xf>
    <xf numFmtId="168" fontId="54" fillId="0" borderId="22" xfId="26" applyNumberFormat="1" applyFont="1" applyBorder="1" applyAlignment="1" applyProtection="1">
      <alignment horizontal="center" vertical="center"/>
    </xf>
    <xf numFmtId="168" fontId="54" fillId="0" borderId="21" xfId="26" applyNumberFormat="1" applyFont="1" applyBorder="1" applyAlignment="1" applyProtection="1">
      <alignment horizontal="center" vertical="center"/>
    </xf>
    <xf numFmtId="168" fontId="54" fillId="0" borderId="16" xfId="26" applyNumberFormat="1" applyFont="1" applyBorder="1" applyAlignment="1" applyProtection="1">
      <alignment horizontal="center" vertical="center"/>
    </xf>
    <xf numFmtId="168" fontId="54" fillId="0" borderId="17" xfId="26" applyNumberFormat="1" applyFont="1" applyBorder="1" applyAlignment="1" applyProtection="1">
      <alignment horizontal="center" vertical="center"/>
    </xf>
    <xf numFmtId="4" fontId="10" fillId="0" borderId="20" xfId="26" applyNumberFormat="1" applyFont="1" applyBorder="1" applyAlignment="1">
      <alignment horizontal="center" vertical="top" wrapText="1"/>
      <protection hidden="1"/>
    </xf>
    <xf numFmtId="4" fontId="10" fillId="0" borderId="21" xfId="26" applyNumberFormat="1" applyFont="1" applyBorder="1" applyAlignment="1">
      <alignment horizontal="center" vertical="top" wrapText="1"/>
      <protection hidden="1"/>
    </xf>
    <xf numFmtId="3" fontId="10" fillId="0" borderId="20" xfId="26" applyNumberFormat="1" applyFont="1" applyBorder="1" applyAlignment="1" applyProtection="1">
      <alignment horizontal="center" vertical="top"/>
    </xf>
    <xf numFmtId="3" fontId="10" fillId="0" borderId="21" xfId="26" applyNumberFormat="1" applyFont="1" applyBorder="1" applyAlignment="1" applyProtection="1">
      <alignment horizontal="center" vertical="top"/>
    </xf>
    <xf numFmtId="0" fontId="4" fillId="0" borderId="16" xfId="26" applyFont="1" applyBorder="1" applyAlignment="1" applyProtection="1">
      <alignment horizontal="center" vertical="top"/>
    </xf>
    <xf numFmtId="0" fontId="4" fillId="0" borderId="17" xfId="26" applyFont="1" applyBorder="1" applyAlignment="1" applyProtection="1">
      <alignment horizontal="center" vertical="top"/>
    </xf>
    <xf numFmtId="3" fontId="10" fillId="0" borderId="19" xfId="26" applyNumberFormat="1" applyFont="1" applyBorder="1" applyAlignment="1" applyProtection="1">
      <alignment horizontal="center" vertical="top"/>
    </xf>
    <xf numFmtId="3" fontId="10" fillId="0" borderId="18" xfId="26" applyNumberFormat="1" applyFont="1" applyBorder="1" applyAlignment="1" applyProtection="1">
      <alignment horizontal="center" vertical="top"/>
    </xf>
    <xf numFmtId="3" fontId="10" fillId="0" borderId="19" xfId="26" applyNumberFormat="1" applyFont="1" applyBorder="1" applyAlignment="1" applyProtection="1">
      <alignment horizontal="center" vertical="top" wrapText="1"/>
    </xf>
    <xf numFmtId="3" fontId="10" fillId="0" borderId="18" xfId="26" applyNumberFormat="1" applyFont="1" applyBorder="1" applyAlignment="1" applyProtection="1">
      <alignment horizontal="center" vertical="top" wrapText="1"/>
    </xf>
    <xf numFmtId="3" fontId="10" fillId="0" borderId="19" xfId="26" applyNumberFormat="1" applyFont="1" applyBorder="1" applyAlignment="1">
      <alignment horizontal="center" vertical="top"/>
      <protection hidden="1"/>
    </xf>
    <xf numFmtId="3" fontId="10" fillId="0" borderId="18" xfId="26" applyNumberFormat="1" applyFont="1" applyBorder="1" applyAlignment="1">
      <alignment horizontal="center" vertical="top"/>
      <protection hidden="1"/>
    </xf>
    <xf numFmtId="0" fontId="4" fillId="0" borderId="14" xfId="26" applyFont="1" applyBorder="1" applyAlignment="1" applyProtection="1">
      <alignment vertical="top" wrapText="1"/>
    </xf>
    <xf numFmtId="168" fontId="54" fillId="0" borderId="20" xfId="26" applyNumberFormat="1" applyFont="1" applyBorder="1" applyAlignment="1" applyProtection="1">
      <alignment horizontal="center" vertical="center"/>
    </xf>
    <xf numFmtId="0" fontId="10" fillId="0" borderId="19" xfId="26" applyFont="1" applyBorder="1" applyAlignment="1" applyProtection="1">
      <alignment horizontal="center" vertical="top" wrapText="1"/>
    </xf>
    <xf numFmtId="0" fontId="10" fillId="0" borderId="18" xfId="26" applyFont="1" applyBorder="1" applyAlignment="1" applyProtection="1">
      <alignment horizontal="center" vertical="top" wrapText="1"/>
    </xf>
    <xf numFmtId="0" fontId="2" fillId="0" borderId="0" xfId="26" applyFont="1" applyAlignment="1" applyProtection="1">
      <alignment vertical="top" wrapText="1"/>
    </xf>
    <xf numFmtId="0" fontId="0" fillId="0" borderId="0" xfId="26" applyFont="1" applyAlignment="1" applyProtection="1">
      <alignment vertical="top" wrapText="1"/>
    </xf>
    <xf numFmtId="0" fontId="4" fillId="0" borderId="0" xfId="26" applyFont="1" applyAlignment="1">
      <alignment vertical="top" wrapText="1"/>
      <protection hidden="1"/>
    </xf>
    <xf numFmtId="168" fontId="54" fillId="0" borderId="10" xfId="26" applyNumberFormat="1" applyFont="1" applyBorder="1" applyAlignment="1" applyProtection="1">
      <alignment horizontal="center" vertical="center"/>
    </xf>
    <xf numFmtId="168" fontId="54" fillId="0" borderId="15" xfId="26" applyNumberFormat="1" applyFont="1" applyBorder="1" applyAlignment="1" applyProtection="1">
      <alignment horizontal="center" vertical="center"/>
    </xf>
    <xf numFmtId="0" fontId="42" fillId="0" borderId="14" xfId="27" applyFont="1" applyBorder="1" applyAlignment="1" applyProtection="1">
      <alignment horizontal="left" vertical="top" wrapText="1"/>
    </xf>
    <xf numFmtId="0" fontId="42" fillId="0" borderId="17" xfId="27" applyFont="1" applyBorder="1" applyAlignment="1" applyProtection="1">
      <alignment horizontal="left" vertical="top" wrapText="1"/>
    </xf>
    <xf numFmtId="0" fontId="17" fillId="0" borderId="0" xfId="27" applyFont="1" applyAlignment="1" applyProtection="1">
      <alignment horizontal="left" vertical="top" wrapText="1"/>
    </xf>
    <xf numFmtId="0" fontId="17" fillId="0" borderId="18" xfId="27" applyFont="1" applyBorder="1" applyAlignment="1" applyProtection="1">
      <alignment horizontal="left" vertical="top" wrapText="1"/>
    </xf>
    <xf numFmtId="168" fontId="54" fillId="0" borderId="11" xfId="26" applyNumberFormat="1" applyFont="1" applyBorder="1" applyAlignment="1" applyProtection="1">
      <alignment horizontal="center"/>
    </xf>
    <xf numFmtId="0" fontId="39" fillId="0" borderId="12" xfId="26" applyFont="1" applyBorder="1" applyAlignment="1" applyProtection="1">
      <alignment horizontal="center" vertical="center" wrapText="1"/>
    </xf>
    <xf numFmtId="168" fontId="54" fillId="0" borderId="10" xfId="26" applyNumberFormat="1" applyFont="1" applyBorder="1" applyAlignment="1" applyProtection="1">
      <alignment horizontal="center" vertical="top"/>
    </xf>
    <xf numFmtId="168" fontId="54" fillId="0" borderId="15" xfId="26" applyNumberFormat="1" applyFont="1" applyBorder="1" applyAlignment="1" applyProtection="1">
      <alignment horizontal="center" vertical="top"/>
    </xf>
    <xf numFmtId="0" fontId="5" fillId="0" borderId="22" xfId="27" applyBorder="1" applyAlignment="1" applyProtection="1">
      <alignment horizontal="left" vertical="top" wrapText="1"/>
    </xf>
    <xf numFmtId="0" fontId="5" fillId="0" borderId="21" xfId="27" applyBorder="1" applyAlignment="1" applyProtection="1">
      <alignment horizontal="left" vertical="top" wrapText="1"/>
    </xf>
    <xf numFmtId="0" fontId="5" fillId="0" borderId="18" xfId="27" applyBorder="1" applyAlignment="1" applyProtection="1">
      <alignment horizontal="left" vertical="top" wrapText="1"/>
    </xf>
    <xf numFmtId="0" fontId="5" fillId="0" borderId="0" xfId="27" applyAlignment="1" applyProtection="1">
      <alignment vertical="top" wrapText="1"/>
    </xf>
    <xf numFmtId="0" fontId="4" fillId="25" borderId="10" xfId="27" applyFont="1" applyFill="1" applyBorder="1" applyAlignment="1" applyProtection="1">
      <alignment horizontal="center" vertical="top"/>
    </xf>
    <xf numFmtId="0" fontId="4" fillId="25" borderId="15" xfId="27" applyFont="1" applyFill="1" applyBorder="1" applyAlignment="1" applyProtection="1">
      <alignment horizontal="center" vertical="top"/>
    </xf>
    <xf numFmtId="0" fontId="17" fillId="0" borderId="16" xfId="27" applyFont="1" applyBorder="1" applyAlignment="1" applyProtection="1">
      <alignment horizontal="center" vertical="center"/>
    </xf>
    <xf numFmtId="0" fontId="17" fillId="0" borderId="17" xfId="27" applyFont="1" applyBorder="1" applyAlignment="1" applyProtection="1">
      <alignment horizontal="center" vertical="center"/>
    </xf>
    <xf numFmtId="0" fontId="17" fillId="0" borderId="20" xfId="27" applyFont="1" applyBorder="1" applyAlignment="1" applyProtection="1">
      <alignment horizontal="center" vertical="center"/>
    </xf>
    <xf numFmtId="0" fontId="17" fillId="0" borderId="21" xfId="27" applyFont="1" applyBorder="1" applyAlignment="1" applyProtection="1">
      <alignment horizontal="center" vertical="center"/>
    </xf>
    <xf numFmtId="0" fontId="5" fillId="0" borderId="22" xfId="27" applyBorder="1" applyAlignment="1" applyProtection="1">
      <alignment horizontal="center" vertical="center"/>
    </xf>
    <xf numFmtId="168" fontId="38" fillId="0" borderId="0" xfId="27" applyNumberFormat="1" applyFont="1" applyAlignment="1" applyProtection="1">
      <alignment horizontal="left" vertical="top"/>
    </xf>
    <xf numFmtId="167" fontId="5" fillId="0" borderId="0" xfId="27" quotePrefix="1" applyNumberFormat="1" applyAlignment="1" applyProtection="1">
      <alignment horizontal="left" vertical="top"/>
    </xf>
    <xf numFmtId="0" fontId="48" fillId="0" borderId="0" xfId="27" applyFont="1" applyAlignment="1" applyProtection="1">
      <alignment horizontal="left" vertical="top" wrapText="1"/>
    </xf>
    <xf numFmtId="0" fontId="5" fillId="0" borderId="0" xfId="27" applyAlignment="1">
      <alignment horizontal="left" vertical="top" wrapText="1"/>
      <protection hidden="1"/>
    </xf>
    <xf numFmtId="0" fontId="5" fillId="0" borderId="18" xfId="27" applyBorder="1" applyAlignment="1">
      <alignment horizontal="left" vertical="top" wrapText="1"/>
      <protection hidden="1"/>
    </xf>
    <xf numFmtId="0" fontId="5" fillId="0" borderId="14" xfId="27" applyBorder="1" applyAlignment="1" applyProtection="1">
      <alignment horizontal="left" vertical="top" wrapText="1"/>
    </xf>
    <xf numFmtId="0" fontId="5" fillId="0" borderId="17" xfId="27" applyBorder="1" applyAlignment="1" applyProtection="1">
      <alignment horizontal="left" vertical="top" wrapText="1"/>
    </xf>
    <xf numFmtId="0" fontId="5" fillId="0" borderId="14" xfId="27" applyBorder="1" applyAlignment="1">
      <alignment horizontal="left" vertical="top" wrapText="1"/>
      <protection hidden="1"/>
    </xf>
    <xf numFmtId="0" fontId="5" fillId="0" borderId="14" xfId="27" applyBorder="1" applyAlignment="1" applyProtection="1">
      <alignment horizontal="center" vertical="center"/>
    </xf>
    <xf numFmtId="0" fontId="1" fillId="0" borderId="0" xfId="27" applyFont="1" applyAlignment="1" applyProtection="1">
      <alignment vertical="top" wrapText="1"/>
    </xf>
    <xf numFmtId="0" fontId="1" fillId="0" borderId="0" xfId="27" applyFont="1" applyAlignment="1" applyProtection="1">
      <alignment horizontal="left" vertical="top" wrapText="1"/>
    </xf>
    <xf numFmtId="0" fontId="53" fillId="0" borderId="19" xfId="0" quotePrefix="1" applyFont="1" applyBorder="1" applyAlignment="1">
      <alignment horizontal="left" vertical="center" wrapText="1"/>
      <protection hidden="1"/>
    </xf>
    <xf numFmtId="0" fontId="53" fillId="0" borderId="0" xfId="0" applyFont="1" applyAlignment="1">
      <alignment horizontal="left" vertical="center" wrapText="1"/>
      <protection hidden="1"/>
    </xf>
    <xf numFmtId="0" fontId="53" fillId="0" borderId="18" xfId="0" applyFont="1" applyBorder="1" applyAlignment="1">
      <alignment horizontal="left" vertical="center" wrapText="1"/>
      <protection hidden="1"/>
    </xf>
    <xf numFmtId="3" fontId="53" fillId="0" borderId="12" xfId="0" applyNumberFormat="1" applyFont="1" applyBorder="1" applyAlignment="1">
      <alignment horizontal="center" vertical="center" wrapText="1"/>
      <protection hidden="1"/>
    </xf>
    <xf numFmtId="3" fontId="53" fillId="0" borderId="19" xfId="0" applyNumberFormat="1" applyFont="1" applyBorder="1" applyAlignment="1">
      <alignment horizontal="center" vertical="center" wrapText="1"/>
      <protection hidden="1"/>
    </xf>
    <xf numFmtId="0" fontId="53" fillId="0" borderId="0" xfId="0" quotePrefix="1" applyFont="1" applyAlignment="1">
      <alignment horizontal="left" vertical="center" wrapText="1"/>
      <protection hidden="1"/>
    </xf>
    <xf numFmtId="0" fontId="53" fillId="0" borderId="18" xfId="0" quotePrefix="1" applyFont="1" applyBorder="1" applyAlignment="1">
      <alignment horizontal="left" vertical="center" wrapText="1"/>
      <protection hidden="1"/>
    </xf>
    <xf numFmtId="0" fontId="4" fillId="0" borderId="10" xfId="27" applyFont="1" applyBorder="1" applyAlignment="1" applyProtection="1">
      <alignment horizontal="left" vertical="top"/>
    </xf>
    <xf numFmtId="0" fontId="4" fillId="0" borderId="24" xfId="27" applyFont="1" applyBorder="1" applyAlignment="1" applyProtection="1">
      <alignment horizontal="left" vertical="top"/>
    </xf>
    <xf numFmtId="0" fontId="4" fillId="0" borderId="15" xfId="27" applyFont="1" applyBorder="1" applyAlignment="1" applyProtection="1">
      <alignment horizontal="left" vertical="top"/>
    </xf>
    <xf numFmtId="0" fontId="41" fillId="0" borderId="11" xfId="0" applyFont="1" applyBorder="1" applyAlignment="1" applyProtection="1">
      <alignment horizontal="left" vertical="center" wrapText="1"/>
    </xf>
    <xf numFmtId="0" fontId="5" fillId="0" borderId="29" xfId="27" applyBorder="1" applyAlignment="1" applyProtection="1">
      <alignment horizontal="center" vertical="center" wrapText="1"/>
    </xf>
    <xf numFmtId="0" fontId="5" fillId="0" borderId="30" xfId="27" applyBorder="1" applyAlignment="1" applyProtection="1">
      <alignment horizontal="center" vertical="center" wrapText="1"/>
    </xf>
    <xf numFmtId="0" fontId="5" fillId="0" borderId="25" xfId="27" applyBorder="1" applyAlignment="1" applyProtection="1">
      <alignment horizontal="center" vertical="center"/>
    </xf>
    <xf numFmtId="0" fontId="5" fillId="0" borderId="26" xfId="27" applyBorder="1" applyAlignment="1" applyProtection="1">
      <alignment horizontal="center" vertical="center"/>
    </xf>
    <xf numFmtId="0" fontId="5" fillId="0" borderId="27" xfId="27" applyBorder="1" applyAlignment="1" applyProtection="1">
      <alignment horizontal="center" vertical="center" wrapText="1"/>
    </xf>
    <xf numFmtId="0" fontId="5" fillId="0" borderId="28" xfId="27" applyBorder="1" applyAlignment="1" applyProtection="1">
      <alignment horizontal="center" vertical="center" wrapText="1"/>
    </xf>
    <xf numFmtId="0" fontId="5" fillId="0" borderId="27" xfId="27" applyBorder="1" applyAlignment="1" applyProtection="1">
      <alignment horizontal="center" vertical="center"/>
    </xf>
    <xf numFmtId="0" fontId="5" fillId="0" borderId="28" xfId="27" applyBorder="1" applyAlignment="1" applyProtection="1">
      <alignment horizontal="center" vertical="center"/>
    </xf>
    <xf numFmtId="0" fontId="5" fillId="0" borderId="29" xfId="27" applyBorder="1" applyAlignment="1" applyProtection="1">
      <alignment horizontal="center" vertical="center"/>
    </xf>
    <xf numFmtId="0" fontId="5" fillId="0" borderId="30" xfId="27" applyBorder="1" applyAlignment="1" applyProtection="1">
      <alignment horizontal="center" vertical="center"/>
    </xf>
    <xf numFmtId="0" fontId="5" fillId="0" borderId="0" xfId="45" applyAlignment="1" applyProtection="1">
      <alignment vertical="top" wrapText="1"/>
    </xf>
    <xf numFmtId="0" fontId="5" fillId="0" borderId="19" xfId="27" applyBorder="1" applyAlignment="1" applyProtection="1">
      <alignment horizontal="left" vertical="top" wrapText="1"/>
    </xf>
    <xf numFmtId="0" fontId="4" fillId="0" borderId="19" xfId="27" applyFont="1" applyBorder="1" applyAlignment="1" applyProtection="1">
      <alignment horizontal="left" vertical="top" wrapText="1"/>
    </xf>
    <xf numFmtId="0" fontId="4" fillId="0" borderId="0" xfId="27" applyFont="1" applyAlignment="1" applyProtection="1">
      <alignment horizontal="left" vertical="top" wrapText="1"/>
    </xf>
    <xf numFmtId="0" fontId="4" fillId="0" borderId="18" xfId="27" applyFont="1" applyBorder="1" applyAlignment="1" applyProtection="1">
      <alignment horizontal="left" vertical="top" wrapText="1"/>
    </xf>
    <xf numFmtId="0" fontId="4" fillId="0" borderId="10" xfId="27" applyFont="1" applyBorder="1" applyAlignment="1" applyProtection="1">
      <alignment horizontal="center" vertical="top"/>
    </xf>
    <xf numFmtId="0" fontId="4" fillId="0" borderId="24" xfId="27" applyFont="1" applyBorder="1" applyAlignment="1" applyProtection="1">
      <alignment horizontal="center" vertical="top"/>
    </xf>
    <xf numFmtId="0" fontId="4" fillId="0" borderId="15" xfId="27" applyFont="1" applyBorder="1" applyAlignment="1" applyProtection="1">
      <alignment horizontal="center" vertical="top"/>
    </xf>
    <xf numFmtId="0" fontId="1" fillId="0" borderId="0" xfId="26" applyFont="1" applyAlignment="1" applyProtection="1">
      <alignment horizontal="left" vertical="top"/>
    </xf>
    <xf numFmtId="0" fontId="1" fillId="0" borderId="0" xfId="26" applyFont="1" applyAlignment="1" applyProtection="1">
      <alignment horizontal="right" vertical="top"/>
    </xf>
    <xf numFmtId="0" fontId="1" fillId="0" borderId="10" xfId="26" applyFont="1" applyBorder="1" applyAlignment="1" applyProtection="1">
      <alignment horizontal="center" vertical="center"/>
    </xf>
    <xf numFmtId="0" fontId="1" fillId="0" borderId="15" xfId="26" applyFont="1" applyBorder="1" applyAlignment="1" applyProtection="1">
      <alignment horizontal="center" vertical="center"/>
    </xf>
    <xf numFmtId="0" fontId="1" fillId="0" borderId="10" xfId="26" applyFont="1" applyBorder="1" applyAlignment="1" applyProtection="1">
      <alignment horizontal="center" vertical="center"/>
    </xf>
    <xf numFmtId="0" fontId="1" fillId="0" borderId="11" xfId="26" applyFont="1" applyBorder="1" applyAlignment="1" applyProtection="1">
      <alignment horizontal="center" vertical="center"/>
    </xf>
    <xf numFmtId="0" fontId="1" fillId="0" borderId="19" xfId="26" applyFont="1" applyBorder="1" applyAlignment="1" applyProtection="1">
      <alignment horizontal="center" vertical="center"/>
    </xf>
    <xf numFmtId="0" fontId="1" fillId="0" borderId="18" xfId="26" applyFont="1" applyBorder="1" applyAlignment="1" applyProtection="1">
      <alignment horizontal="center" vertical="center"/>
    </xf>
    <xf numFmtId="0" fontId="1" fillId="0" borderId="12" xfId="26" applyFont="1" applyBorder="1" applyAlignment="1" applyProtection="1">
      <alignment horizontal="center" vertical="center"/>
    </xf>
    <xf numFmtId="168" fontId="1" fillId="26" borderId="12" xfId="26" applyNumberFormat="1" applyFont="1" applyFill="1" applyBorder="1" applyAlignment="1" applyProtection="1">
      <alignment horizontal="center" vertical="center"/>
    </xf>
    <xf numFmtId="0" fontId="1" fillId="0" borderId="14" xfId="26" applyFont="1" applyBorder="1" applyAlignment="1">
      <alignment vertical="top" wrapText="1"/>
      <protection hidden="1"/>
    </xf>
    <xf numFmtId="0" fontId="1" fillId="0" borderId="11" xfId="26" applyFont="1" applyBorder="1" applyAlignment="1" applyProtection="1">
      <alignment horizontal="center" vertical="center" wrapText="1"/>
    </xf>
    <xf numFmtId="0" fontId="1" fillId="0" borderId="0" xfId="26" applyFont="1" applyAlignment="1" applyProtection="1">
      <alignment horizontal="center" vertical="top"/>
    </xf>
    <xf numFmtId="0" fontId="1" fillId="0" borderId="16" xfId="26" applyFont="1" applyBorder="1" applyAlignment="1" applyProtection="1">
      <alignment horizontal="center" vertical="center"/>
    </xf>
    <xf numFmtId="0" fontId="1" fillId="0" borderId="17" xfId="26" applyFont="1" applyBorder="1" applyAlignment="1" applyProtection="1">
      <alignment horizontal="center" vertical="center"/>
    </xf>
    <xf numFmtId="168" fontId="1" fillId="26" borderId="11" xfId="26" applyNumberFormat="1" applyFont="1" applyFill="1" applyBorder="1" applyAlignment="1" applyProtection="1">
      <alignment horizontal="center" vertical="center"/>
    </xf>
    <xf numFmtId="168" fontId="1" fillId="0" borderId="11" xfId="26" applyNumberFormat="1" applyFont="1" applyBorder="1" applyAlignment="1" applyProtection="1">
      <alignment horizontal="center" vertical="center"/>
    </xf>
    <xf numFmtId="0" fontId="1" fillId="0" borderId="20" xfId="26" applyFont="1" applyBorder="1" applyAlignment="1" applyProtection="1">
      <alignment horizontal="center" vertical="center"/>
    </xf>
    <xf numFmtId="0" fontId="1" fillId="0" borderId="21" xfId="26" applyFont="1" applyBorder="1" applyAlignment="1" applyProtection="1">
      <alignment horizontal="center" vertical="center"/>
    </xf>
    <xf numFmtId="0" fontId="1" fillId="0" borderId="0" xfId="26" applyFont="1" applyAlignment="1" applyProtection="1">
      <alignment vertical="top" wrapText="1"/>
    </xf>
    <xf numFmtId="3" fontId="1" fillId="0" borderId="0" xfId="26" applyNumberFormat="1" applyFont="1" applyAlignment="1" applyProtection="1">
      <alignment horizontal="left" vertical="top" wrapText="1"/>
    </xf>
    <xf numFmtId="0" fontId="1" fillId="0" borderId="23" xfId="26" applyFont="1" applyBorder="1" applyAlignment="1" applyProtection="1">
      <alignment horizontal="left" vertical="top" wrapText="1"/>
    </xf>
    <xf numFmtId="0" fontId="1" fillId="0" borderId="19" xfId="26" applyFont="1" applyBorder="1" applyAlignment="1" applyProtection="1">
      <alignment vertical="top"/>
    </xf>
    <xf numFmtId="0" fontId="1" fillId="0" borderId="12" xfId="26" applyFont="1" applyBorder="1" applyAlignment="1" applyProtection="1">
      <alignment horizontal="left" vertical="top"/>
    </xf>
    <xf numFmtId="0" fontId="1" fillId="0" borderId="12" xfId="26" applyFont="1" applyBorder="1" applyAlignment="1" applyProtection="1">
      <alignment vertical="top"/>
    </xf>
    <xf numFmtId="0" fontId="1" fillId="0" borderId="22" xfId="26" applyFont="1" applyBorder="1" applyAlignment="1" applyProtection="1">
      <alignment vertical="top"/>
    </xf>
    <xf numFmtId="0" fontId="1" fillId="0" borderId="13" xfId="26" applyFont="1" applyBorder="1" applyAlignment="1" applyProtection="1">
      <alignment vertical="top"/>
    </xf>
    <xf numFmtId="167" fontId="1" fillId="0" borderId="12" xfId="26" applyNumberFormat="1" applyFont="1" applyBorder="1" applyAlignment="1">
      <alignment vertical="top" wrapText="1"/>
      <protection hidden="1"/>
    </xf>
    <xf numFmtId="0" fontId="1" fillId="0" borderId="20" xfId="26" applyFont="1" applyBorder="1" applyAlignment="1" applyProtection="1">
      <alignment vertical="top"/>
    </xf>
    <xf numFmtId="167" fontId="1" fillId="0" borderId="22" xfId="26" applyNumberFormat="1" applyFont="1" applyBorder="1" applyAlignment="1" applyProtection="1">
      <alignment horizontal="left" vertical="top"/>
    </xf>
    <xf numFmtId="167" fontId="1" fillId="0" borderId="13" xfId="26" applyNumberFormat="1" applyFont="1" applyBorder="1" applyAlignment="1" applyProtection="1">
      <alignment horizontal="left" vertical="top"/>
    </xf>
    <xf numFmtId="167" fontId="1" fillId="0" borderId="0" xfId="26" applyNumberFormat="1" applyFont="1" applyAlignment="1" applyProtection="1">
      <alignment horizontal="left" vertical="top"/>
    </xf>
    <xf numFmtId="0" fontId="1" fillId="0" borderId="20" xfId="26" applyFont="1" applyBorder="1" applyAlignment="1" applyProtection="1">
      <alignment horizontal="center" vertical="center"/>
    </xf>
    <xf numFmtId="0" fontId="1" fillId="0" borderId="13" xfId="26" applyFont="1" applyBorder="1" applyAlignment="1" applyProtection="1">
      <alignment horizontal="center" vertical="center" wrapText="1"/>
    </xf>
    <xf numFmtId="0" fontId="1" fillId="0" borderId="14" xfId="26" applyFont="1" applyBorder="1" applyAlignment="1" applyProtection="1">
      <alignment horizontal="center" vertical="center"/>
    </xf>
    <xf numFmtId="0" fontId="1" fillId="0" borderId="23" xfId="26" applyFont="1" applyBorder="1" applyAlignment="1" applyProtection="1">
      <alignment horizontal="center" vertical="center"/>
    </xf>
    <xf numFmtId="0" fontId="1" fillId="0" borderId="24" xfId="26" applyFont="1" applyBorder="1" applyAlignment="1" applyProtection="1">
      <alignment horizontal="center" vertical="center"/>
    </xf>
    <xf numFmtId="0" fontId="1" fillId="0" borderId="15" xfId="26" applyFont="1" applyBorder="1" applyAlignment="1" applyProtection="1">
      <alignment horizontal="center" vertical="center"/>
    </xf>
    <xf numFmtId="0" fontId="1" fillId="0" borderId="22" xfId="26" applyFont="1" applyBorder="1" applyAlignment="1" applyProtection="1">
      <alignment horizontal="center" vertical="center"/>
    </xf>
    <xf numFmtId="0" fontId="1" fillId="0" borderId="13" xfId="26" applyFont="1" applyBorder="1" applyAlignment="1" applyProtection="1">
      <alignment horizontal="center" vertical="center"/>
    </xf>
    <xf numFmtId="0" fontId="1" fillId="0" borderId="16" xfId="26" applyFont="1" applyBorder="1" applyAlignment="1" applyProtection="1">
      <alignment horizontal="center" vertical="center" wrapText="1"/>
    </xf>
    <xf numFmtId="0" fontId="1" fillId="0" borderId="14" xfId="26" applyFont="1" applyBorder="1" applyAlignment="1" applyProtection="1">
      <alignment horizontal="center" vertical="center" wrapText="1"/>
    </xf>
    <xf numFmtId="0" fontId="1" fillId="0" borderId="17" xfId="26" applyFont="1" applyBorder="1" applyAlignment="1" applyProtection="1">
      <alignment horizontal="center" vertical="center" wrapText="1"/>
    </xf>
    <xf numFmtId="0" fontId="1" fillId="0" borderId="0" xfId="26" applyFont="1" applyAlignment="1" applyProtection="1">
      <alignment horizontal="center" vertical="center"/>
    </xf>
    <xf numFmtId="0" fontId="1" fillId="0" borderId="23" xfId="26" applyFont="1" applyBorder="1" applyAlignment="1" applyProtection="1">
      <alignment horizontal="center" vertical="center"/>
    </xf>
    <xf numFmtId="0" fontId="1" fillId="0" borderId="19" xfId="26" applyFont="1" applyBorder="1" applyAlignment="1" applyProtection="1">
      <alignment horizontal="center" vertical="center" wrapText="1"/>
    </xf>
    <xf numFmtId="0" fontId="1" fillId="0" borderId="0" xfId="26" applyFont="1" applyAlignment="1" applyProtection="1">
      <alignment horizontal="center" vertical="center" wrapText="1"/>
    </xf>
    <xf numFmtId="0" fontId="1" fillId="0" borderId="18" xfId="26" applyFont="1" applyBorder="1" applyAlignment="1" applyProtection="1">
      <alignment horizontal="center" vertical="center" wrapText="1"/>
    </xf>
    <xf numFmtId="0" fontId="1" fillId="0" borderId="14" xfId="26" applyFont="1" applyBorder="1" applyAlignment="1" applyProtection="1">
      <alignment horizontal="center" vertical="center"/>
    </xf>
    <xf numFmtId="168" fontId="1" fillId="0" borderId="23" xfId="26" applyNumberFormat="1" applyFont="1" applyBorder="1" applyAlignment="1" applyProtection="1">
      <alignment horizontal="center" vertical="center"/>
    </xf>
    <xf numFmtId="168" fontId="1" fillId="0" borderId="16" xfId="26" applyNumberFormat="1" applyFont="1" applyBorder="1" applyAlignment="1" applyProtection="1">
      <alignment horizontal="center" vertical="center"/>
    </xf>
    <xf numFmtId="168" fontId="1" fillId="0" borderId="17" xfId="26" applyNumberFormat="1" applyFont="1" applyBorder="1" applyAlignment="1" applyProtection="1">
      <alignment horizontal="center" vertical="center"/>
    </xf>
    <xf numFmtId="168" fontId="1" fillId="0" borderId="17" xfId="26" applyNumberFormat="1" applyFont="1" applyBorder="1" applyAlignment="1" applyProtection="1">
      <alignment horizontal="center" vertical="center"/>
    </xf>
    <xf numFmtId="0" fontId="1" fillId="0" borderId="22" xfId="26" applyFont="1" applyBorder="1" applyAlignment="1" applyProtection="1">
      <alignment horizontal="center" vertical="center"/>
    </xf>
    <xf numFmtId="168" fontId="1" fillId="0" borderId="20" xfId="26" applyNumberFormat="1" applyFont="1" applyBorder="1" applyAlignment="1" applyProtection="1">
      <alignment horizontal="center" vertical="center"/>
    </xf>
    <xf numFmtId="168" fontId="1" fillId="0" borderId="20" xfId="26" applyNumberFormat="1" applyFont="1" applyBorder="1" applyAlignment="1" applyProtection="1">
      <alignment horizontal="center" vertical="center"/>
    </xf>
    <xf numFmtId="168" fontId="1" fillId="0" borderId="21" xfId="26" applyNumberFormat="1" applyFont="1" applyBorder="1" applyAlignment="1" applyProtection="1">
      <alignment horizontal="center" vertical="center"/>
    </xf>
    <xf numFmtId="168" fontId="1" fillId="0" borderId="22" xfId="26" applyNumberFormat="1" applyFont="1" applyBorder="1" applyAlignment="1" applyProtection="1">
      <alignment horizontal="center" vertical="center"/>
    </xf>
    <xf numFmtId="168" fontId="1" fillId="0" borderId="13" xfId="26" applyNumberFormat="1" applyFont="1" applyBorder="1" applyAlignment="1" applyProtection="1">
      <alignment horizontal="center" vertical="center"/>
    </xf>
    <xf numFmtId="0" fontId="1" fillId="0" borderId="0" xfId="26" applyFont="1" applyAlignment="1" applyProtection="1">
      <alignment vertical="top" wrapText="1"/>
    </xf>
    <xf numFmtId="0" fontId="1" fillId="0" borderId="14" xfId="26" applyFont="1" applyBorder="1" applyAlignment="1" applyProtection="1">
      <alignment vertical="top"/>
    </xf>
    <xf numFmtId="0" fontId="1" fillId="0" borderId="24" xfId="26" applyFont="1" applyBorder="1" applyAlignment="1" applyProtection="1">
      <alignment vertical="top"/>
    </xf>
    <xf numFmtId="0" fontId="1" fillId="0" borderId="0" xfId="26" applyFont="1" applyAlignment="1" applyProtection="1">
      <alignment horizontal="left" vertical="top" wrapText="1"/>
    </xf>
    <xf numFmtId="0" fontId="1" fillId="0" borderId="19" xfId="26" applyFont="1" applyBorder="1" applyAlignment="1" applyProtection="1">
      <alignment horizontal="left" vertical="top" wrapText="1"/>
    </xf>
    <xf numFmtId="0" fontId="1" fillId="0" borderId="0" xfId="26" applyFont="1" applyAlignment="1" applyProtection="1">
      <alignment horizontal="left" vertical="top" wrapText="1"/>
    </xf>
    <xf numFmtId="0" fontId="1" fillId="0" borderId="18" xfId="26" applyFont="1" applyBorder="1" applyAlignment="1" applyProtection="1">
      <alignment horizontal="left" vertical="top" wrapText="1"/>
    </xf>
    <xf numFmtId="0" fontId="1" fillId="0" borderId="20" xfId="26" applyFont="1" applyBorder="1" applyAlignment="1" applyProtection="1">
      <alignment horizontal="center" vertical="top"/>
    </xf>
    <xf numFmtId="0" fontId="1" fillId="0" borderId="21" xfId="26" applyFont="1" applyBorder="1" applyAlignment="1" applyProtection="1">
      <alignment horizontal="center" vertical="top"/>
    </xf>
    <xf numFmtId="3" fontId="1" fillId="0" borderId="19" xfId="26" applyNumberFormat="1" applyFont="1" applyBorder="1" applyAlignment="1" applyProtection="1">
      <alignment horizontal="center" vertical="top"/>
    </xf>
    <xf numFmtId="3" fontId="1" fillId="0" borderId="12" xfId="26" applyNumberFormat="1" applyFont="1" applyBorder="1" applyAlignment="1" applyProtection="1">
      <alignment horizontal="center" vertical="top"/>
    </xf>
    <xf numFmtId="0" fontId="1" fillId="0" borderId="22" xfId="26" applyFont="1" applyBorder="1" applyAlignment="1" applyProtection="1">
      <alignment vertical="top" wrapText="1"/>
    </xf>
    <xf numFmtId="0" fontId="1" fillId="0" borderId="10" xfId="26" applyFont="1" applyBorder="1" applyAlignment="1" applyProtection="1">
      <alignment vertical="top" wrapText="1"/>
    </xf>
    <xf numFmtId="0" fontId="1" fillId="0" borderId="24" xfId="26" applyFont="1" applyBorder="1" applyAlignment="1" applyProtection="1">
      <alignment vertical="top" wrapText="1"/>
    </xf>
    <xf numFmtId="3" fontId="1" fillId="0" borderId="10" xfId="26" applyNumberFormat="1" applyFont="1" applyBorder="1" applyAlignment="1" applyProtection="1">
      <alignment horizontal="center" vertical="top"/>
    </xf>
    <xf numFmtId="3" fontId="1" fillId="0" borderId="11" xfId="26" applyNumberFormat="1" applyFont="1" applyBorder="1" applyAlignment="1" applyProtection="1">
      <alignment horizontal="center" vertical="top"/>
    </xf>
    <xf numFmtId="4" fontId="1" fillId="0" borderId="0" xfId="26" applyNumberFormat="1" applyFont="1" applyAlignment="1">
      <alignment vertical="top"/>
      <protection hidden="1"/>
    </xf>
    <xf numFmtId="0" fontId="1" fillId="0" borderId="19" xfId="26" applyFont="1" applyBorder="1" applyAlignment="1" applyProtection="1">
      <alignment vertical="top" wrapText="1"/>
    </xf>
    <xf numFmtId="0" fontId="1" fillId="0" borderId="19" xfId="26" applyFont="1" applyBorder="1" applyAlignment="1" applyProtection="1">
      <alignment horizontal="right" vertical="top" wrapText="1"/>
    </xf>
    <xf numFmtId="0" fontId="1" fillId="0" borderId="20" xfId="26" applyFont="1" applyBorder="1" applyAlignment="1" applyProtection="1">
      <alignment vertical="top" wrapText="1"/>
    </xf>
    <xf numFmtId="0" fontId="1" fillId="0" borderId="14" xfId="26" applyFont="1" applyBorder="1" applyAlignment="1" applyProtection="1">
      <alignment vertical="top" wrapText="1"/>
    </xf>
    <xf numFmtId="3" fontId="1" fillId="0" borderId="16" xfId="26" applyNumberFormat="1" applyFont="1" applyBorder="1" applyAlignment="1" applyProtection="1">
      <alignment horizontal="center" vertical="top"/>
    </xf>
    <xf numFmtId="3" fontId="1" fillId="0" borderId="23" xfId="26" applyNumberFormat="1" applyFont="1" applyBorder="1" applyAlignment="1" applyProtection="1">
      <alignment horizontal="center" vertical="top"/>
    </xf>
    <xf numFmtId="4" fontId="1" fillId="0" borderId="0" xfId="26" applyNumberFormat="1" applyFont="1" applyAlignment="1" applyProtection="1">
      <alignment vertical="top"/>
    </xf>
    <xf numFmtId="0" fontId="1" fillId="0" borderId="10" xfId="26" applyFont="1" applyBorder="1" applyAlignment="1" applyProtection="1">
      <alignment horizontal="right" vertical="top" wrapText="1"/>
    </xf>
    <xf numFmtId="3" fontId="1" fillId="0" borderId="20" xfId="26" applyNumberFormat="1" applyFont="1" applyBorder="1" applyAlignment="1" applyProtection="1">
      <alignment horizontal="center" vertical="top"/>
    </xf>
    <xf numFmtId="3" fontId="1" fillId="0" borderId="13" xfId="26" applyNumberFormat="1" applyFont="1" applyBorder="1" applyAlignment="1" applyProtection="1">
      <alignment horizontal="center" vertical="top"/>
    </xf>
    <xf numFmtId="3" fontId="1" fillId="0" borderId="19" xfId="26" applyNumberFormat="1" applyFont="1" applyBorder="1" applyAlignment="1" applyProtection="1">
      <alignment horizontal="center" vertical="top"/>
    </xf>
    <xf numFmtId="3" fontId="1" fillId="0" borderId="18" xfId="26" applyNumberFormat="1" applyFont="1" applyBorder="1" applyAlignment="1" applyProtection="1">
      <alignment horizontal="center" vertical="top"/>
    </xf>
    <xf numFmtId="3" fontId="1" fillId="0" borderId="20" xfId="26" applyNumberFormat="1" applyFont="1" applyBorder="1" applyAlignment="1" applyProtection="1">
      <alignment horizontal="center" vertical="top"/>
    </xf>
    <xf numFmtId="3" fontId="1" fillId="0" borderId="21" xfId="26" applyNumberFormat="1" applyFont="1" applyBorder="1" applyAlignment="1" applyProtection="1">
      <alignment horizontal="center" vertical="top"/>
    </xf>
    <xf numFmtId="3" fontId="1" fillId="0" borderId="16" xfId="26" applyNumberFormat="1" applyFont="1" applyBorder="1" applyAlignment="1" applyProtection="1">
      <alignment horizontal="center" vertical="top"/>
    </xf>
    <xf numFmtId="3" fontId="1" fillId="0" borderId="17" xfId="26" applyNumberFormat="1" applyFont="1" applyBorder="1" applyAlignment="1" applyProtection="1">
      <alignment horizontal="center" vertical="top"/>
    </xf>
    <xf numFmtId="3" fontId="1" fillId="0" borderId="10" xfId="26" applyNumberFormat="1" applyFont="1" applyBorder="1" applyAlignment="1" applyProtection="1">
      <alignment horizontal="center" vertical="top" wrapText="1"/>
    </xf>
    <xf numFmtId="3" fontId="1" fillId="0" borderId="15" xfId="26" applyNumberFormat="1" applyFont="1" applyBorder="1" applyAlignment="1" applyProtection="1">
      <alignment horizontal="center" vertical="top" wrapText="1"/>
    </xf>
    <xf numFmtId="3" fontId="1" fillId="0" borderId="17" xfId="26" applyNumberFormat="1" applyFont="1" applyBorder="1" applyAlignment="1" applyProtection="1">
      <alignment horizontal="center" vertical="top"/>
    </xf>
    <xf numFmtId="3" fontId="1" fillId="0" borderId="21" xfId="26" applyNumberFormat="1" applyFont="1" applyBorder="1" applyAlignment="1" applyProtection="1">
      <alignment horizontal="center" vertical="top"/>
    </xf>
    <xf numFmtId="3" fontId="1" fillId="0" borderId="15" xfId="26" applyNumberFormat="1" applyFont="1" applyBorder="1" applyAlignment="1" applyProtection="1">
      <alignment horizontal="center" vertical="top"/>
    </xf>
    <xf numFmtId="0" fontId="1" fillId="0" borderId="0" xfId="26" applyFont="1" applyAlignment="1">
      <alignment horizontal="left" vertical="top" wrapText="1"/>
      <protection hidden="1"/>
    </xf>
    <xf numFmtId="0" fontId="1" fillId="0" borderId="0" xfId="26" applyFont="1" applyAlignment="1" applyProtection="1">
      <alignment vertical="center"/>
    </xf>
    <xf numFmtId="0" fontId="1" fillId="0" borderId="18" xfId="26" applyFont="1" applyBorder="1" applyAlignment="1" applyProtection="1">
      <alignment horizontal="center" vertical="center"/>
    </xf>
    <xf numFmtId="0" fontId="1" fillId="0" borderId="0" xfId="26" applyFont="1" applyAlignment="1">
      <alignment vertical="top" wrapText="1"/>
      <protection hidden="1"/>
    </xf>
    <xf numFmtId="0" fontId="1" fillId="0" borderId="0" xfId="26" applyFont="1" applyAlignment="1" applyProtection="1">
      <alignment horizontal="center"/>
    </xf>
    <xf numFmtId="168" fontId="1" fillId="0" borderId="21" xfId="26" applyNumberFormat="1" applyFont="1" applyBorder="1" applyAlignment="1" applyProtection="1">
      <alignment horizontal="center" vertical="center"/>
    </xf>
    <xf numFmtId="0" fontId="1" fillId="0" borderId="19" xfId="26" applyFont="1" applyBorder="1" applyAlignment="1" applyProtection="1">
      <alignment horizontal="center"/>
    </xf>
    <xf numFmtId="0" fontId="1" fillId="0" borderId="12" xfId="26" applyFont="1" applyBorder="1" applyAlignment="1" applyProtection="1">
      <alignment horizontal="center"/>
    </xf>
    <xf numFmtId="3" fontId="1" fillId="0" borderId="19" xfId="26" applyNumberFormat="1" applyFont="1" applyBorder="1" applyAlignment="1" applyProtection="1">
      <alignment horizontal="center" vertical="top" wrapText="1"/>
    </xf>
    <xf numFmtId="3" fontId="1" fillId="0" borderId="12" xfId="26" applyNumberFormat="1" applyFont="1" applyBorder="1" applyAlignment="1" applyProtection="1">
      <alignment horizontal="center" vertical="top" wrapText="1"/>
    </xf>
    <xf numFmtId="9" fontId="1" fillId="0" borderId="20" xfId="26" applyNumberFormat="1" applyFont="1" applyBorder="1" applyAlignment="1" applyProtection="1">
      <alignment horizontal="center" vertical="center" wrapText="1"/>
    </xf>
    <xf numFmtId="9" fontId="1" fillId="0" borderId="21" xfId="26" applyNumberFormat="1" applyFont="1" applyBorder="1" applyAlignment="1" applyProtection="1">
      <alignment horizontal="center" vertical="center" wrapText="1"/>
    </xf>
    <xf numFmtId="0" fontId="1" fillId="0" borderId="10" xfId="26" applyFont="1" applyBorder="1" applyAlignment="1" applyProtection="1">
      <alignment horizontal="center" vertical="top"/>
    </xf>
    <xf numFmtId="0" fontId="1" fillId="0" borderId="11" xfId="26" applyFont="1" applyBorder="1" applyAlignment="1" applyProtection="1">
      <alignment horizontal="center" vertical="top"/>
    </xf>
    <xf numFmtId="3" fontId="1" fillId="0" borderId="23" xfId="26" applyNumberFormat="1" applyFont="1" applyBorder="1" applyAlignment="1">
      <alignment horizontal="center" vertical="top" wrapText="1"/>
      <protection hidden="1"/>
    </xf>
    <xf numFmtId="0" fontId="1" fillId="0" borderId="14" xfId="26" applyFont="1" applyBorder="1" applyAlignment="1" applyProtection="1">
      <alignment vertical="top" wrapText="1"/>
    </xf>
    <xf numFmtId="3" fontId="1" fillId="0" borderId="16" xfId="26" applyNumberFormat="1" applyFont="1" applyBorder="1" applyAlignment="1" applyProtection="1">
      <alignment horizontal="center" vertical="top" wrapText="1"/>
    </xf>
    <xf numFmtId="3" fontId="1" fillId="0" borderId="23" xfId="26" applyNumberFormat="1" applyFont="1" applyBorder="1" applyAlignment="1" applyProtection="1">
      <alignment horizontal="center" vertical="top" wrapText="1"/>
    </xf>
    <xf numFmtId="3" fontId="1" fillId="0" borderId="22" xfId="26" applyNumberFormat="1" applyFont="1" applyBorder="1" applyAlignment="1" applyProtection="1">
      <alignment horizontal="center" vertical="top" wrapText="1"/>
    </xf>
    <xf numFmtId="0" fontId="1" fillId="0" borderId="24" xfId="26" applyFont="1" applyBorder="1" applyAlignment="1" applyProtection="1">
      <alignment horizontal="center" vertical="top" wrapText="1"/>
    </xf>
    <xf numFmtId="3" fontId="1" fillId="0" borderId="10" xfId="26" applyNumberFormat="1" applyFont="1" applyBorder="1" applyAlignment="1" applyProtection="1">
      <alignment horizontal="center" vertical="top" wrapText="1"/>
    </xf>
    <xf numFmtId="3" fontId="1" fillId="0" borderId="11" xfId="26" applyNumberFormat="1" applyFont="1" applyBorder="1" applyAlignment="1" applyProtection="1">
      <alignment horizontal="center" vertical="top" wrapText="1"/>
    </xf>
    <xf numFmtId="0" fontId="1" fillId="0" borderId="10" xfId="26" applyFont="1" applyBorder="1" applyAlignment="1" applyProtection="1">
      <alignment horizontal="center" vertical="top" wrapText="1"/>
    </xf>
    <xf numFmtId="0" fontId="1" fillId="0" borderId="11" xfId="26" applyFont="1" applyBorder="1" applyAlignment="1" applyProtection="1">
      <alignment horizontal="center" vertical="top" wrapText="1"/>
    </xf>
    <xf numFmtId="0" fontId="1" fillId="0" borderId="16" xfId="26" applyFont="1" applyBorder="1" applyAlignment="1" applyProtection="1">
      <alignment horizontal="center" vertical="top" wrapText="1"/>
    </xf>
    <xf numFmtId="0" fontId="1" fillId="0" borderId="23" xfId="26" applyFont="1" applyBorder="1" applyAlignment="1" applyProtection="1">
      <alignment horizontal="center" vertical="top" wrapText="1"/>
    </xf>
    <xf numFmtId="3" fontId="1" fillId="0" borderId="16" xfId="26" applyNumberFormat="1" applyFont="1" applyBorder="1" applyAlignment="1" applyProtection="1">
      <alignment horizontal="center" vertical="center" wrapText="1"/>
    </xf>
    <xf numFmtId="3" fontId="1" fillId="0" borderId="17" xfId="26" applyNumberFormat="1" applyFont="1" applyBorder="1" applyAlignment="1" applyProtection="1">
      <alignment horizontal="center" vertical="center" wrapText="1"/>
    </xf>
    <xf numFmtId="3" fontId="1" fillId="0" borderId="14" xfId="26" applyNumberFormat="1" applyFont="1" applyBorder="1" applyAlignment="1" applyProtection="1">
      <alignment horizontal="center" vertical="top" wrapText="1"/>
    </xf>
    <xf numFmtId="9" fontId="1" fillId="0" borderId="16" xfId="26" applyNumberFormat="1" applyFont="1" applyBorder="1" applyAlignment="1" applyProtection="1">
      <alignment horizontal="center" vertical="top" wrapText="1"/>
    </xf>
    <xf numFmtId="9" fontId="1" fillId="0" borderId="23" xfId="26" applyNumberFormat="1" applyFont="1" applyBorder="1" applyAlignment="1" applyProtection="1">
      <alignment horizontal="center" vertical="top" wrapText="1"/>
    </xf>
    <xf numFmtId="0" fontId="1" fillId="0" borderId="0" xfId="26" applyFont="1" applyAlignment="1" applyProtection="1">
      <alignment horizontal="center" vertical="top" wrapText="1"/>
    </xf>
    <xf numFmtId="0" fontId="1" fillId="0" borderId="0" xfId="26" applyFont="1" applyAlignment="1" applyProtection="1">
      <alignment horizontal="centerContinuous" vertical="top" wrapText="1"/>
    </xf>
    <xf numFmtId="0" fontId="1" fillId="0" borderId="10" xfId="26" applyFont="1" applyBorder="1" applyAlignment="1" applyProtection="1">
      <alignment horizontal="center" vertical="center" wrapText="1"/>
    </xf>
    <xf numFmtId="0" fontId="1" fillId="0" borderId="15" xfId="0" applyFont="1" applyBorder="1" applyAlignment="1" applyProtection="1">
      <alignment horizontal="center" vertical="center" wrapText="1"/>
    </xf>
    <xf numFmtId="3" fontId="1" fillId="0" borderId="11" xfId="26" applyNumberFormat="1" applyFont="1" applyBorder="1" applyAlignment="1" applyProtection="1">
      <alignment horizontal="center" vertical="center"/>
    </xf>
    <xf numFmtId="168" fontId="1" fillId="0" borderId="10" xfId="26" applyNumberFormat="1" applyFont="1" applyBorder="1" applyAlignment="1" applyProtection="1">
      <alignment horizontal="center" vertical="center"/>
    </xf>
    <xf numFmtId="168" fontId="1" fillId="0" borderId="15" xfId="26" applyNumberFormat="1" applyFont="1" applyBorder="1" applyAlignment="1" applyProtection="1">
      <alignment horizontal="center" vertical="center"/>
    </xf>
    <xf numFmtId="0" fontId="1" fillId="0" borderId="19" xfId="26" applyFont="1" applyBorder="1" applyAlignment="1" applyProtection="1">
      <alignment horizontal="left" vertical="top" wrapText="1"/>
    </xf>
    <xf numFmtId="168" fontId="1" fillId="0" borderId="19" xfId="26" applyNumberFormat="1" applyFont="1" applyBorder="1" applyAlignment="1" applyProtection="1">
      <alignment horizontal="centerContinuous" vertical="top" wrapText="1"/>
    </xf>
    <xf numFmtId="3" fontId="1" fillId="0" borderId="18" xfId="26" applyNumberFormat="1" applyFont="1" applyBorder="1" applyAlignment="1" applyProtection="1">
      <alignment horizontal="centerContinuous" vertical="top" wrapText="1"/>
    </xf>
    <xf numFmtId="0" fontId="1" fillId="0" borderId="18" xfId="26" applyFont="1" applyBorder="1" applyAlignment="1" applyProtection="1">
      <alignment horizontal="centerContinuous" vertical="top" wrapText="1"/>
    </xf>
    <xf numFmtId="171" fontId="1" fillId="0" borderId="19" xfId="26" applyNumberFormat="1" applyFont="1" applyBorder="1" applyAlignment="1" applyProtection="1">
      <alignment horizontal="right" vertical="top"/>
    </xf>
    <xf numFmtId="168" fontId="1" fillId="0" borderId="18" xfId="26" applyNumberFormat="1" applyFont="1" applyBorder="1" applyAlignment="1" applyProtection="1">
      <alignment horizontal="centerContinuous" vertical="top" wrapText="1"/>
    </xf>
    <xf numFmtId="171" fontId="1" fillId="0" borderId="20" xfId="26" applyNumberFormat="1" applyFont="1" applyBorder="1" applyAlignment="1" applyProtection="1">
      <alignment horizontal="right" vertical="top"/>
    </xf>
    <xf numFmtId="168" fontId="1" fillId="0" borderId="20" xfId="26" applyNumberFormat="1" applyFont="1" applyBorder="1" applyAlignment="1" applyProtection="1">
      <alignment horizontal="centerContinuous" vertical="top" wrapText="1"/>
    </xf>
    <xf numFmtId="0" fontId="1" fillId="0" borderId="17" xfId="26" applyFont="1" applyBorder="1" applyAlignment="1" applyProtection="1">
      <alignment vertical="top"/>
    </xf>
    <xf numFmtId="168" fontId="1" fillId="0" borderId="16" xfId="26" applyNumberFormat="1" applyFont="1" applyBorder="1" applyAlignment="1" applyProtection="1">
      <alignment horizontal="centerContinuous" vertical="top" wrapText="1"/>
    </xf>
    <xf numFmtId="168" fontId="1" fillId="0" borderId="17" xfId="26" applyNumberFormat="1" applyFont="1" applyBorder="1" applyAlignment="1" applyProtection="1">
      <alignment horizontal="centerContinuous" vertical="top" wrapText="1"/>
    </xf>
    <xf numFmtId="0" fontId="1" fillId="0" borderId="18" xfId="26" applyFont="1" applyBorder="1" applyAlignment="1" applyProtection="1">
      <alignment vertical="top"/>
    </xf>
    <xf numFmtId="168" fontId="1" fillId="0" borderId="19" xfId="26" applyNumberFormat="1" applyFont="1" applyBorder="1" applyAlignment="1" applyProtection="1">
      <alignment horizontal="center" vertical="top" wrapText="1"/>
    </xf>
    <xf numFmtId="168" fontId="1" fillId="0" borderId="18" xfId="26" applyNumberFormat="1" applyFont="1" applyBorder="1" applyAlignment="1" applyProtection="1">
      <alignment horizontal="center" vertical="top" wrapText="1"/>
    </xf>
    <xf numFmtId="168" fontId="1" fillId="0" borderId="19" xfId="0" applyNumberFormat="1" applyFont="1" applyBorder="1" applyAlignment="1" applyProtection="1">
      <alignment horizontal="centerContinuous" vertical="top" wrapText="1"/>
    </xf>
    <xf numFmtId="168" fontId="1" fillId="0" borderId="18" xfId="0" applyNumberFormat="1" applyFont="1" applyBorder="1" applyAlignment="1" applyProtection="1">
      <alignment horizontal="centerContinuous" vertical="top" wrapText="1"/>
    </xf>
    <xf numFmtId="171" fontId="1" fillId="0" borderId="10" xfId="26" applyNumberFormat="1" applyFont="1" applyBorder="1" applyAlignment="1" applyProtection="1">
      <alignment horizontal="right" vertical="top"/>
    </xf>
    <xf numFmtId="168" fontId="1" fillId="0" borderId="15" xfId="26" applyNumberFormat="1" applyFont="1" applyBorder="1" applyAlignment="1" applyProtection="1">
      <alignment horizontal="centerContinuous" vertical="top" wrapText="1"/>
    </xf>
    <xf numFmtId="4" fontId="1" fillId="0" borderId="24" xfId="26" applyNumberFormat="1" applyFont="1" applyBorder="1" applyAlignment="1">
      <alignment vertical="top"/>
      <protection hidden="1"/>
    </xf>
    <xf numFmtId="168" fontId="1" fillId="0" borderId="11" xfId="26" applyNumberFormat="1" applyFont="1" applyBorder="1" applyAlignment="1">
      <alignment horizontal="centerContinuous" vertical="top" wrapText="1"/>
      <protection hidden="1"/>
    </xf>
    <xf numFmtId="171" fontId="1" fillId="0" borderId="0" xfId="26" applyNumberFormat="1" applyFont="1" applyAlignment="1" applyProtection="1">
      <alignment horizontal="right" vertical="top"/>
    </xf>
    <xf numFmtId="0" fontId="1" fillId="0" borderId="10" xfId="26" applyFont="1" applyBorder="1" applyAlignment="1" applyProtection="1">
      <alignment horizontal="center" vertical="top"/>
    </xf>
    <xf numFmtId="0" fontId="1" fillId="0" borderId="24" xfId="26" applyFont="1" applyBorder="1" applyAlignment="1" applyProtection="1">
      <alignment horizontal="center" vertical="top"/>
    </xf>
    <xf numFmtId="0" fontId="1" fillId="0" borderId="15" xfId="26" applyFont="1" applyBorder="1" applyAlignment="1" applyProtection="1">
      <alignment horizontal="center" vertical="top"/>
    </xf>
    <xf numFmtId="0" fontId="1" fillId="0" borderId="0" xfId="26" applyFont="1" applyAlignment="1" applyProtection="1">
      <alignment horizontal="center" vertical="center"/>
    </xf>
    <xf numFmtId="0" fontId="1" fillId="0" borderId="0" xfId="26" applyFont="1" applyAlignment="1" applyProtection="1">
      <alignment horizontal="center" vertical="top"/>
    </xf>
    <xf numFmtId="3" fontId="1" fillId="0" borderId="11" xfId="26" applyNumberFormat="1" applyFont="1" applyBorder="1" applyAlignment="1" applyProtection="1">
      <alignment horizontal="center"/>
    </xf>
    <xf numFmtId="4" fontId="1" fillId="0" borderId="0" xfId="26" applyNumberFormat="1" applyFont="1" applyAlignment="1" applyProtection="1">
      <alignment horizontal="center" vertical="top"/>
    </xf>
    <xf numFmtId="3" fontId="1" fillId="0" borderId="0" xfId="26" applyNumberFormat="1" applyFont="1" applyAlignment="1" applyProtection="1">
      <alignment horizontal="centerContinuous" vertical="top" wrapText="1"/>
    </xf>
    <xf numFmtId="168" fontId="1" fillId="0" borderId="0" xfId="26" applyNumberFormat="1" applyFont="1" applyAlignment="1" applyProtection="1">
      <alignment horizontal="centerContinuous" vertical="top" wrapText="1"/>
    </xf>
    <xf numFmtId="0" fontId="1" fillId="0" borderId="16" xfId="26" applyFont="1" applyBorder="1" applyAlignment="1" applyProtection="1">
      <alignment horizontal="center" vertical="top"/>
    </xf>
    <xf numFmtId="0" fontId="1" fillId="0" borderId="14" xfId="26" applyFont="1" applyBorder="1" applyAlignment="1" applyProtection="1">
      <alignment horizontal="center" vertical="top"/>
    </xf>
    <xf numFmtId="0" fontId="1" fillId="0" borderId="17" xfId="26" applyFont="1" applyBorder="1" applyAlignment="1" applyProtection="1">
      <alignment horizontal="center" vertical="top"/>
    </xf>
    <xf numFmtId="0" fontId="1" fillId="0" borderId="23" xfId="26" applyFont="1" applyBorder="1" applyAlignment="1" applyProtection="1">
      <alignment horizontal="center" vertical="top"/>
    </xf>
    <xf numFmtId="0" fontId="1" fillId="0" borderId="24" xfId="26" applyFont="1" applyBorder="1" applyAlignment="1" applyProtection="1">
      <alignment horizontal="center" vertical="top"/>
    </xf>
    <xf numFmtId="0" fontId="1" fillId="0" borderId="12" xfId="26" applyFont="1" applyBorder="1" applyAlignment="1" applyProtection="1">
      <alignment horizontal="center" vertical="top" wrapText="1"/>
    </xf>
    <xf numFmtId="0" fontId="1" fillId="0" borderId="21" xfId="26" applyFont="1" applyBorder="1" applyAlignment="1" applyProtection="1">
      <alignment horizontal="center" vertical="top"/>
    </xf>
    <xf numFmtId="0" fontId="1" fillId="0" borderId="15" xfId="26" applyFont="1" applyBorder="1" applyAlignment="1" applyProtection="1">
      <alignment vertical="top" wrapText="1"/>
    </xf>
    <xf numFmtId="0" fontId="1" fillId="0" borderId="23" xfId="26" applyFont="1" applyBorder="1" applyAlignment="1" applyProtection="1">
      <alignment horizontal="center" vertical="center" wrapText="1"/>
    </xf>
    <xf numFmtId="169" fontId="1" fillId="0" borderId="12" xfId="52" applyNumberFormat="1" applyFont="1" applyFill="1" applyBorder="1" applyAlignment="1" applyProtection="1">
      <alignment horizontal="center" vertical="center"/>
    </xf>
    <xf numFmtId="169" fontId="1" fillId="0" borderId="13" xfId="52" applyNumberFormat="1" applyFont="1" applyFill="1" applyBorder="1" applyAlignment="1" applyProtection="1">
      <alignment horizontal="center" vertical="center"/>
    </xf>
    <xf numFmtId="0" fontId="1" fillId="0" borderId="0" xfId="0" applyFont="1" applyAlignment="1" applyProtection="1">
      <alignment vertical="top"/>
    </xf>
    <xf numFmtId="168" fontId="1" fillId="0" borderId="23" xfId="31" applyNumberFormat="1" applyFont="1" applyBorder="1" applyAlignment="1" applyProtection="1">
      <alignment horizontal="center" vertical="center"/>
    </xf>
    <xf numFmtId="168" fontId="1" fillId="0" borderId="13" xfId="31" applyNumberFormat="1" applyFont="1" applyBorder="1" applyAlignment="1" applyProtection="1">
      <alignment horizontal="center" vertical="center"/>
    </xf>
    <xf numFmtId="0" fontId="1" fillId="0" borderId="0" xfId="0" applyFont="1">
      <alignment horizontal="justify" vertical="justify" wrapText="1"/>
      <protection hidden="1"/>
    </xf>
    <xf numFmtId="0" fontId="1" fillId="0" borderId="22" xfId="0" applyFont="1" applyBorder="1">
      <alignment horizontal="justify" vertical="justify" wrapText="1"/>
      <protection hidden="1"/>
    </xf>
    <xf numFmtId="0" fontId="1" fillId="0" borderId="14" xfId="0" applyFont="1" applyBorder="1">
      <alignment horizontal="justify" vertical="justify" wrapText="1"/>
      <protection hidden="1"/>
    </xf>
  </cellXfs>
  <cellStyles count="60">
    <cellStyle name="20% - Accent1 2" xfId="1" xr:uid="{A4F1664E-9DD3-423A-B6FF-B37DFEEE21DD}"/>
    <cellStyle name="20% - Accent2 2" xfId="2" xr:uid="{70F078F2-A121-46DD-9466-3D852E158349}"/>
    <cellStyle name="20% - Accent3 2" xfId="3" xr:uid="{71FE7149-C1F4-4306-97E4-B0ED60BFBD0E}"/>
    <cellStyle name="20% - Accent4 2" xfId="4" xr:uid="{CB57EF21-C658-4FBE-ADC7-AFAA585F8614}"/>
    <cellStyle name="20% - Accent5 2" xfId="5" xr:uid="{8CA5371E-8F3A-4325-B646-547CF126435B}"/>
    <cellStyle name="20% - Accent6 2" xfId="6" xr:uid="{C642AB08-EDDA-443A-B7F1-98B41FC86F80}"/>
    <cellStyle name="40% - Accent1 2" xfId="7" xr:uid="{FE0965ED-3CB0-4AE6-B10F-09150AA95EAC}"/>
    <cellStyle name="40% - Accent2 2" xfId="8" xr:uid="{B18B1FB0-3D5B-4D4C-8A74-E5693C07E69F}"/>
    <cellStyle name="40% - Accent3 2" xfId="9" xr:uid="{8D844079-AA87-4CBE-AE74-4DC3D7792160}"/>
    <cellStyle name="40% - Accent4 2" xfId="10" xr:uid="{01E14307-B2D4-4AD1-8393-7EE047D1EB9E}"/>
    <cellStyle name="40% - Accent5 2" xfId="11" xr:uid="{3BD69928-1DEE-4A24-B6D5-CBEE9230EC45}"/>
    <cellStyle name="40% - Accent6 2" xfId="12" xr:uid="{C9F8A8D7-9854-44B7-80F7-7BDFC493CDC0}"/>
    <cellStyle name="60% - Accent1 2" xfId="13" xr:uid="{4A603148-65F1-4835-AEE7-14A3B37713EC}"/>
    <cellStyle name="60% - Accent2 2" xfId="14" xr:uid="{F8CB35F3-DCDF-4388-8628-CD87BF95199E}"/>
    <cellStyle name="60% - Accent3 2" xfId="15" xr:uid="{326C6119-5FD6-4E8B-BBFF-848EACCC7322}"/>
    <cellStyle name="60% - Accent4 2" xfId="16" xr:uid="{521BF6D8-E819-44AE-A50B-BE110EE78756}"/>
    <cellStyle name="60% - Accent5 2" xfId="17" xr:uid="{A8E757E7-5C27-45C6-8540-7E8A32E318E0}"/>
    <cellStyle name="60% - Accent6 2" xfId="18" xr:uid="{E861204C-9CDE-4659-A0A8-C27361FE49F6}"/>
    <cellStyle name="Accent1 2" xfId="19" xr:uid="{2DA922DA-97B8-4B30-8050-EA690BF1C4AA}"/>
    <cellStyle name="Accent2 2" xfId="20" xr:uid="{9A7B8BAE-89C1-4A14-9E5F-8632205891FE}"/>
    <cellStyle name="Accent3 2" xfId="21" xr:uid="{F7279F62-776A-4978-87ED-95A2D60B38B7}"/>
    <cellStyle name="Accent4 2" xfId="22" xr:uid="{37C5BF87-FD78-4F8B-9501-0E849347AC67}"/>
    <cellStyle name="Accent5 2" xfId="23" xr:uid="{86590396-668C-4AD4-B13A-85BA4FFB6A6C}"/>
    <cellStyle name="Accent6 2" xfId="24" xr:uid="{CD0B6D44-432A-4E46-B8CA-F8F75793BA7D}"/>
    <cellStyle name="Bad 2" xfId="25" xr:uid="{733FD03A-A3ED-4F46-ADCD-2FB5C3AFCC91}"/>
    <cellStyle name="C:\Data\MS\Excel" xfId="26" xr:uid="{8E9E77A7-83EC-40AA-B449-C440906E2224}"/>
    <cellStyle name="C:\Data\MS\Excel 2" xfId="27" xr:uid="{CF25DE2C-BD60-4E48-9E0E-F4912741BED6}"/>
    <cellStyle name="C:\Data\MS\Excel 3" xfId="28" xr:uid="{24927BFE-D138-4923-A96E-2E7E04925839}"/>
    <cellStyle name="Calculation 2" xfId="29" xr:uid="{50AA4F3E-855A-454F-A910-5A76A6949932}"/>
    <cellStyle name="Check Cell 2" xfId="30" xr:uid="{6B5C8AFB-EEA3-449A-89C9-D5B0762B4E6F}"/>
    <cellStyle name="Currency" xfId="31" builtinId="4"/>
    <cellStyle name="Currency 2" xfId="32" xr:uid="{79CFB7D6-2F78-4150-9F7A-011FAB28DCEC}"/>
    <cellStyle name="Currency 3" xfId="33" xr:uid="{7E573AE2-6279-445C-9FBB-38EAADBA735D}"/>
    <cellStyle name="Explanatory Text 2" xfId="34" xr:uid="{ABFAAE2C-C79D-4A60-B80B-3B305D702CF4}"/>
    <cellStyle name="Good 2" xfId="35" xr:uid="{532B6879-1F76-4BF9-8147-C6E7598F3123}"/>
    <cellStyle name="Heading 1 2" xfId="36" xr:uid="{5EA4E539-88E4-49D2-ADD8-B1AF1709EFF7}"/>
    <cellStyle name="Heading 2 2" xfId="37" xr:uid="{401E7C1A-8052-4085-BA19-956B902860B3}"/>
    <cellStyle name="Heading 3 2" xfId="38" xr:uid="{7740D5F4-0B51-42F4-98E1-5C4B622FF9F6}"/>
    <cellStyle name="Heading 4 2" xfId="39" xr:uid="{D0926575-D839-4B79-9116-D1958C509626}"/>
    <cellStyle name="Input 2" xfId="40" xr:uid="{E9101939-44B5-4679-B2CE-28C2BF54B3DE}"/>
    <cellStyle name="Linked Cell 2" xfId="41" xr:uid="{6C19D6B0-6722-4F2C-930E-77CFAAA76D14}"/>
    <cellStyle name="Neutral 2" xfId="42" xr:uid="{69E8899F-5FA4-4ACC-95A2-7AF1054CAAEF}"/>
    <cellStyle name="Normal" xfId="0" builtinId="0"/>
    <cellStyle name="Normal 2" xfId="43" xr:uid="{3949613F-6F39-49F4-9423-9C2F7162A47B}"/>
    <cellStyle name="Normal 2 2" xfId="44" xr:uid="{D154A108-F25A-4B85-AA78-02A469A71062}"/>
    <cellStyle name="Normal 2 3" xfId="45" xr:uid="{FEA43671-FC21-44E1-BC1A-2ABCB4CBA12C}"/>
    <cellStyle name="Normal 3" xfId="46" xr:uid="{F7C03280-4C4A-4DA9-A136-363F5482B902}"/>
    <cellStyle name="Normal 3 2" xfId="47" xr:uid="{A2C07D4D-B286-4378-9307-1818880C0686}"/>
    <cellStyle name="Normal_0Q-14Mar2007- Comprehensive" xfId="48" xr:uid="{298CD1E8-F3D9-4732-B489-B66E80387573}"/>
    <cellStyle name="Note 2" xfId="49" xr:uid="{590DD220-5EF4-4EC4-8FF7-A7684B79AAB5}"/>
    <cellStyle name="Note 2 2" xfId="50" xr:uid="{C2052BEB-E527-470C-86B4-A3274D0527EA}"/>
    <cellStyle name="Output 2" xfId="51" xr:uid="{B639D912-4FFD-45D9-B2F0-D2FD8D996987}"/>
    <cellStyle name="Percent" xfId="52" builtinId="5"/>
    <cellStyle name="Percent 2" xfId="53" xr:uid="{5688CEC7-5555-496D-AC7F-39992783DA3E}"/>
    <cellStyle name="PSChar" xfId="54" xr:uid="{1D6CAC83-62B3-4C0E-9FC8-43EB33A0F0F9}"/>
    <cellStyle name="PSDate" xfId="55" xr:uid="{6AEC7311-1E76-421D-A95B-C755ED58B21E}"/>
    <cellStyle name="PSDec" xfId="56" xr:uid="{27365212-B9E6-42D0-A306-2AE1ABF97DC7}"/>
    <cellStyle name="Title 2" xfId="57" xr:uid="{DF0152C4-2CDC-43CB-8E8D-05021C949805}"/>
    <cellStyle name="Total 2" xfId="58" xr:uid="{A084A798-B9C3-4887-A788-A12D8A907C1A}"/>
    <cellStyle name="Warning Text 2" xfId="59" xr:uid="{AC01ABA1-F869-44D1-B5A8-A1C5EED7F7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A5EA-60F6-49E9-9CBA-183330EC0E37}">
  <sheetPr codeName="Sheet1"/>
  <dimension ref="A1:I55"/>
  <sheetViews>
    <sheetView view="pageBreakPreview" zoomScale="70" zoomScaleNormal="70" zoomScaleSheetLayoutView="70" zoomScalePageLayoutView="70" workbookViewId="0"/>
  </sheetViews>
  <sheetFormatPr defaultColWidth="9.140625" defaultRowHeight="12.6"/>
  <cols>
    <col min="1" max="1" width="7.85546875" style="8" customWidth="1"/>
    <col min="2" max="2" width="31.5703125" style="8" customWidth="1"/>
    <col min="3" max="3" width="13.140625" style="8" customWidth="1"/>
    <col min="4" max="4" width="25.85546875" style="8" customWidth="1"/>
    <col min="5" max="5" width="74.5703125" style="8" customWidth="1"/>
    <col min="6" max="6" width="28.5703125" style="8" customWidth="1"/>
    <col min="7" max="7" width="26.42578125" style="8" customWidth="1"/>
    <col min="8" max="8" width="17.5703125" style="8" customWidth="1"/>
    <col min="9" max="9" width="28.85546875" style="8" customWidth="1"/>
    <col min="10" max="16384" width="9.140625" style="5"/>
  </cols>
  <sheetData>
    <row r="1" spans="1:6" ht="24.95">
      <c r="A1" s="63" t="s">
        <v>0</v>
      </c>
      <c r="B1" s="47"/>
      <c r="C1" s="47"/>
      <c r="D1" s="64"/>
      <c r="E1" s="47"/>
      <c r="F1" s="47"/>
    </row>
    <row r="2" spans="1:6" ht="15" customHeight="1">
      <c r="A2" s="63"/>
      <c r="B2" s="47"/>
      <c r="C2" s="47"/>
      <c r="D2" s="64"/>
      <c r="E2" s="47"/>
      <c r="F2" s="47"/>
    </row>
    <row r="3" spans="1:6" ht="12.95">
      <c r="A3" s="9" t="s">
        <v>1</v>
      </c>
      <c r="B3" s="9"/>
      <c r="C3" s="47"/>
      <c r="D3" s="25"/>
      <c r="E3" s="47"/>
      <c r="F3" s="47"/>
    </row>
    <row r="4" spans="1:6" ht="12.95">
      <c r="A4" s="9" t="s">
        <v>2</v>
      </c>
      <c r="B4" s="9"/>
      <c r="C4" s="47" t="s">
        <v>3</v>
      </c>
      <c r="D4" s="25"/>
      <c r="E4" s="47"/>
      <c r="F4" s="47"/>
    </row>
    <row r="5" spans="1:6" ht="12.95">
      <c r="A5" s="9" t="s">
        <v>4</v>
      </c>
      <c r="B5" s="9"/>
      <c r="C5" s="47" t="s">
        <v>3</v>
      </c>
      <c r="D5" s="25"/>
      <c r="E5" s="47"/>
      <c r="F5" s="47"/>
    </row>
    <row r="6" spans="1:6" ht="12.95">
      <c r="A6" s="9" t="s">
        <v>5</v>
      </c>
      <c r="B6" s="9"/>
      <c r="C6" s="47" t="s">
        <v>6</v>
      </c>
      <c r="D6" s="25"/>
      <c r="E6" s="47"/>
      <c r="F6" s="47"/>
    </row>
    <row r="7" spans="1:6" ht="12.95">
      <c r="A7" s="9" t="s">
        <v>7</v>
      </c>
      <c r="B7" s="9"/>
      <c r="C7" s="47" t="s">
        <v>8</v>
      </c>
      <c r="D7" s="25"/>
      <c r="E7" s="47"/>
      <c r="F7" s="47"/>
    </row>
    <row r="8" spans="1:6" ht="12.95">
      <c r="A8" s="9" t="s">
        <v>9</v>
      </c>
      <c r="B8" s="9"/>
      <c r="C8" s="47" t="s">
        <v>10</v>
      </c>
      <c r="D8" s="47"/>
      <c r="E8" s="47"/>
      <c r="F8" s="47"/>
    </row>
    <row r="9" spans="1:6" ht="12.95">
      <c r="A9" s="9" t="s">
        <v>11</v>
      </c>
      <c r="B9" s="9"/>
      <c r="C9" s="47" t="s">
        <v>12</v>
      </c>
      <c r="D9" s="47"/>
      <c r="E9" s="47"/>
      <c r="F9" s="47"/>
    </row>
    <row r="10" spans="1:6" ht="12.95">
      <c r="A10" s="9" t="s">
        <v>13</v>
      </c>
      <c r="B10" s="9"/>
      <c r="C10" s="47"/>
      <c r="D10" s="47"/>
      <c r="E10" s="47"/>
      <c r="F10" s="47"/>
    </row>
    <row r="11" spans="1:6" ht="12.95">
      <c r="A11" s="9" t="s">
        <v>14</v>
      </c>
      <c r="B11" s="9"/>
      <c r="C11" s="416">
        <v>50011653</v>
      </c>
      <c r="D11" s="47"/>
      <c r="E11" s="47"/>
      <c r="F11" s="47"/>
    </row>
    <row r="12" spans="1:6" ht="12.95">
      <c r="A12" s="9"/>
      <c r="B12" s="9"/>
      <c r="C12" s="47"/>
      <c r="D12" s="47"/>
      <c r="E12" s="47"/>
      <c r="F12" s="47"/>
    </row>
    <row r="13" spans="1:6" ht="12.95">
      <c r="A13" s="9" t="s">
        <v>15</v>
      </c>
      <c r="B13" s="9"/>
      <c r="C13" s="47" t="s">
        <v>16</v>
      </c>
      <c r="D13" s="9"/>
      <c r="E13" s="47"/>
      <c r="F13" s="47"/>
    </row>
    <row r="14" spans="1:6" ht="12.95">
      <c r="A14" s="9" t="s">
        <v>17</v>
      </c>
      <c r="B14" s="9"/>
      <c r="C14" s="47" t="s">
        <v>18</v>
      </c>
      <c r="D14" s="9"/>
      <c r="E14" s="47"/>
      <c r="F14" s="47"/>
    </row>
    <row r="15" spans="1:6" ht="12.95">
      <c r="A15" s="9" t="s">
        <v>19</v>
      </c>
      <c r="B15" s="9"/>
      <c r="C15" s="416" t="s">
        <v>20</v>
      </c>
      <c r="D15" s="47"/>
      <c r="E15" s="47"/>
      <c r="F15" s="47"/>
    </row>
    <row r="16" spans="1:6" ht="12.95">
      <c r="A16" s="9"/>
      <c r="B16" s="47"/>
      <c r="C16" s="47"/>
      <c r="D16" s="47"/>
      <c r="E16" s="47"/>
      <c r="F16" s="9"/>
    </row>
    <row r="17" spans="1:9" ht="12.95">
      <c r="A17" s="9" t="s">
        <v>21</v>
      </c>
      <c r="B17" s="47"/>
      <c r="C17" s="47" t="s">
        <v>22</v>
      </c>
      <c r="D17" s="47"/>
      <c r="E17" s="47"/>
      <c r="F17" s="9"/>
      <c r="G17" s="47"/>
      <c r="H17" s="47"/>
      <c r="I17" s="47"/>
    </row>
    <row r="19" spans="1:9" ht="12.95">
      <c r="A19" s="9" t="s">
        <v>23</v>
      </c>
      <c r="B19" s="47"/>
      <c r="C19" s="47"/>
      <c r="D19" s="47"/>
      <c r="E19" s="47"/>
      <c r="F19" s="47"/>
      <c r="G19" s="47"/>
      <c r="H19" s="47"/>
      <c r="I19" s="47"/>
    </row>
    <row r="20" spans="1:9">
      <c r="A20" s="417"/>
      <c r="B20" s="418" t="s">
        <v>24</v>
      </c>
      <c r="C20" s="419"/>
      <c r="D20" s="420" t="s">
        <v>25</v>
      </c>
      <c r="E20" s="421" t="s">
        <v>26</v>
      </c>
      <c r="F20" s="421" t="s">
        <v>27</v>
      </c>
      <c r="G20" s="421" t="s">
        <v>28</v>
      </c>
      <c r="H20" s="421" t="s">
        <v>29</v>
      </c>
      <c r="I20" s="46"/>
    </row>
    <row r="21" spans="1:9" ht="30.6" customHeight="1">
      <c r="A21" s="417"/>
      <c r="B21" s="422" t="s">
        <v>30</v>
      </c>
      <c r="C21" s="423"/>
      <c r="D21" s="424" t="s">
        <v>31</v>
      </c>
      <c r="E21" s="424" t="s">
        <v>32</v>
      </c>
      <c r="F21" s="424">
        <v>1</v>
      </c>
      <c r="G21" s="308" t="s">
        <v>33</v>
      </c>
      <c r="H21" s="425">
        <v>300000</v>
      </c>
      <c r="I21" s="46"/>
    </row>
    <row r="22" spans="1:9" ht="30.6" customHeight="1">
      <c r="A22" s="417"/>
      <c r="B22" s="422"/>
      <c r="C22" s="423"/>
      <c r="D22" s="308" t="s">
        <v>34</v>
      </c>
      <c r="E22" s="424" t="s">
        <v>32</v>
      </c>
      <c r="F22" s="424">
        <v>1</v>
      </c>
      <c r="G22" s="308" t="s">
        <v>35</v>
      </c>
      <c r="H22" s="425">
        <f>11500*12</f>
        <v>138000</v>
      </c>
      <c r="I22" s="46"/>
    </row>
    <row r="23" spans="1:9" ht="12.95">
      <c r="A23" s="9"/>
      <c r="B23" s="312" t="s">
        <v>36</v>
      </c>
      <c r="C23" s="426"/>
      <c r="D23" s="426"/>
      <c r="E23" s="426"/>
      <c r="F23" s="426"/>
      <c r="G23" s="426"/>
      <c r="H23" s="426"/>
      <c r="I23" s="47"/>
    </row>
    <row r="24" spans="1:9" ht="12.95">
      <c r="A24" s="9"/>
      <c r="B24" s="9"/>
      <c r="C24" s="47"/>
      <c r="D24" s="47"/>
      <c r="E24" s="47"/>
      <c r="F24" s="9"/>
      <c r="G24" s="47"/>
      <c r="H24" s="47"/>
      <c r="I24" s="47"/>
    </row>
    <row r="25" spans="1:9" ht="12.95">
      <c r="A25" s="9" t="s">
        <v>37</v>
      </c>
      <c r="B25" s="418" t="s">
        <v>24</v>
      </c>
      <c r="C25" s="419"/>
      <c r="D25" s="420" t="s">
        <v>25</v>
      </c>
      <c r="E25" s="421" t="s">
        <v>38</v>
      </c>
      <c r="F25" s="427" t="s">
        <v>39</v>
      </c>
      <c r="G25" s="421" t="s">
        <v>40</v>
      </c>
      <c r="H25" s="428"/>
      <c r="I25" s="46"/>
    </row>
    <row r="26" spans="1:9" ht="28.7" customHeight="1">
      <c r="A26" s="47"/>
      <c r="B26" s="429" t="s">
        <v>30</v>
      </c>
      <c r="C26" s="430"/>
      <c r="D26" s="421" t="s">
        <v>31</v>
      </c>
      <c r="E26" s="431">
        <f>H21</f>
        <v>300000</v>
      </c>
      <c r="F26" s="432">
        <v>1.8</v>
      </c>
      <c r="G26" s="432">
        <f>E26/1000*F26</f>
        <v>540</v>
      </c>
      <c r="H26" s="47"/>
      <c r="I26" s="46"/>
    </row>
    <row r="27" spans="1:9" ht="28.7" customHeight="1">
      <c r="A27" s="47"/>
      <c r="B27" s="433"/>
      <c r="C27" s="434"/>
      <c r="D27" s="427" t="s">
        <v>34</v>
      </c>
      <c r="E27" s="431">
        <f>H22</f>
        <v>138000</v>
      </c>
      <c r="F27" s="432">
        <v>1.3</v>
      </c>
      <c r="G27" s="432">
        <f>E27/1000*F27</f>
        <v>179.4</v>
      </c>
      <c r="H27" s="47"/>
      <c r="I27" s="46"/>
    </row>
    <row r="28" spans="1:9">
      <c r="A28" s="47"/>
      <c r="B28" s="47"/>
      <c r="C28" s="47"/>
      <c r="D28" s="428"/>
      <c r="E28" s="141"/>
      <c r="F28" s="141"/>
      <c r="G28" s="47"/>
      <c r="H28" s="47"/>
      <c r="I28" s="46"/>
    </row>
    <row r="29" spans="1:9" ht="12.95">
      <c r="A29" s="9"/>
      <c r="B29" s="47"/>
      <c r="C29" s="47"/>
      <c r="D29" s="47"/>
      <c r="E29" s="47"/>
      <c r="F29" s="47"/>
      <c r="G29" s="47"/>
      <c r="H29" s="47"/>
      <c r="I29" s="47"/>
    </row>
    <row r="30" spans="1:9" ht="12.95">
      <c r="A30" s="9" t="s">
        <v>41</v>
      </c>
      <c r="B30" s="9"/>
      <c r="C30" s="245">
        <f>SUM(G26:G27)</f>
        <v>719.4</v>
      </c>
      <c r="D30" s="47"/>
      <c r="E30" s="47"/>
      <c r="F30" s="47"/>
      <c r="G30" s="47"/>
      <c r="H30" s="47"/>
      <c r="I30" s="47"/>
    </row>
    <row r="31" spans="1:9" ht="12.95">
      <c r="A31" s="9"/>
      <c r="B31" s="9"/>
      <c r="C31" s="47"/>
      <c r="D31" s="47"/>
      <c r="E31" s="47"/>
      <c r="F31" s="47"/>
      <c r="G31" s="47"/>
      <c r="H31" s="47"/>
      <c r="I31" s="47"/>
    </row>
    <row r="32" spans="1:9" ht="27" customHeight="1">
      <c r="A32" s="9" t="s">
        <v>42</v>
      </c>
      <c r="B32" s="47"/>
      <c r="C32" s="435" t="s">
        <v>43</v>
      </c>
      <c r="D32" s="435"/>
      <c r="E32" s="435"/>
      <c r="F32" s="435"/>
      <c r="G32" s="435"/>
      <c r="H32" s="435"/>
      <c r="I32" s="435"/>
    </row>
    <row r="33" spans="1:9">
      <c r="A33" s="47"/>
      <c r="B33" s="47"/>
      <c r="C33" s="4"/>
      <c r="D33" s="47"/>
      <c r="E33" s="47"/>
      <c r="F33" s="47"/>
      <c r="G33" s="47"/>
      <c r="H33" s="47"/>
      <c r="I33" s="47"/>
    </row>
    <row r="34" spans="1:9" ht="12.95">
      <c r="A34" s="9" t="s">
        <v>44</v>
      </c>
      <c r="B34" s="47"/>
      <c r="C34" s="436">
        <v>2000000</v>
      </c>
      <c r="D34" s="436"/>
      <c r="E34" s="47"/>
      <c r="F34" s="47"/>
      <c r="G34" s="47"/>
      <c r="H34" s="47"/>
      <c r="I34" s="47"/>
    </row>
    <row r="35" spans="1:9">
      <c r="A35" s="47"/>
      <c r="B35" s="4"/>
      <c r="C35" s="4"/>
      <c r="D35" s="4"/>
      <c r="E35" s="10"/>
      <c r="F35" s="4"/>
      <c r="G35" s="47"/>
      <c r="H35" s="47"/>
      <c r="I35" s="47"/>
    </row>
    <row r="36" spans="1:9" ht="12.95">
      <c r="A36" s="9" t="s">
        <v>45</v>
      </c>
      <c r="B36" s="9" t="s">
        <v>46</v>
      </c>
      <c r="C36" s="47"/>
      <c r="D36" s="47"/>
      <c r="E36" s="47"/>
      <c r="F36" s="47"/>
      <c r="G36" s="47"/>
      <c r="H36" s="47"/>
      <c r="I36" s="47"/>
    </row>
    <row r="37" spans="1:9" s="3" customFormat="1" ht="12.95">
      <c r="A37" s="14" t="s">
        <v>47</v>
      </c>
      <c r="B37" s="15"/>
      <c r="C37" s="15"/>
      <c r="D37" s="16"/>
      <c r="E37" s="67"/>
      <c r="F37" s="9"/>
      <c r="G37" s="9"/>
      <c r="H37" s="9"/>
    </row>
    <row r="38" spans="1:9" ht="119.1" customHeight="1">
      <c r="A38" s="40">
        <v>1</v>
      </c>
      <c r="B38" s="317" t="s">
        <v>48</v>
      </c>
      <c r="C38" s="317"/>
      <c r="D38" s="318"/>
      <c r="E38" s="437" t="s">
        <v>49</v>
      </c>
      <c r="F38" s="47"/>
      <c r="G38" s="47"/>
      <c r="H38" s="47"/>
      <c r="I38" s="46"/>
    </row>
    <row r="39" spans="1:9">
      <c r="A39" s="438"/>
      <c r="B39" s="47"/>
      <c r="C39" s="47"/>
      <c r="D39" s="416"/>
      <c r="E39" s="439"/>
      <c r="F39" s="47"/>
      <c r="G39" s="47"/>
      <c r="H39" s="47"/>
      <c r="I39" s="46"/>
    </row>
    <row r="40" spans="1:9" ht="233.45" customHeight="1">
      <c r="A40" s="18">
        <v>2</v>
      </c>
      <c r="B40" s="314" t="s">
        <v>50</v>
      </c>
      <c r="C40" s="314"/>
      <c r="D40" s="315"/>
      <c r="E40" s="437" t="s">
        <v>51</v>
      </c>
      <c r="F40" s="47"/>
      <c r="G40" s="47"/>
      <c r="H40" s="47"/>
      <c r="I40" s="46"/>
    </row>
    <row r="41" spans="1:9" ht="12.95">
      <c r="A41" s="18"/>
      <c r="B41" s="9"/>
      <c r="C41" s="9"/>
      <c r="D41" s="47"/>
      <c r="E41" s="440"/>
      <c r="F41" s="47"/>
      <c r="G41" s="47"/>
      <c r="H41" s="47"/>
      <c r="I41" s="46"/>
    </row>
    <row r="42" spans="1:9" ht="92.1" customHeight="1">
      <c r="A42" s="18">
        <v>3</v>
      </c>
      <c r="B42" s="319" t="s">
        <v>52</v>
      </c>
      <c r="C42" s="319"/>
      <c r="D42" s="320"/>
      <c r="E42" s="437" t="s">
        <v>53</v>
      </c>
      <c r="F42" s="47"/>
      <c r="G42" s="47"/>
      <c r="H42" s="47"/>
      <c r="I42" s="46"/>
    </row>
    <row r="43" spans="1:9" ht="12.95">
      <c r="A43" s="18"/>
      <c r="B43" s="9"/>
      <c r="C43" s="9"/>
      <c r="D43" s="47"/>
      <c r="E43" s="440"/>
      <c r="F43" s="47"/>
      <c r="G43" s="47"/>
      <c r="H43" s="47"/>
      <c r="I43" s="46"/>
    </row>
    <row r="44" spans="1:9" ht="144" customHeight="1">
      <c r="A44" s="18">
        <v>4</v>
      </c>
      <c r="B44" s="319" t="s">
        <v>54</v>
      </c>
      <c r="C44" s="319"/>
      <c r="D44" s="320"/>
      <c r="E44" s="437" t="s">
        <v>55</v>
      </c>
      <c r="F44" s="47"/>
      <c r="G44" s="47"/>
      <c r="H44" s="47"/>
      <c r="I44" s="46"/>
    </row>
    <row r="45" spans="1:9" ht="12.95">
      <c r="A45" s="305"/>
      <c r="B45" s="31"/>
      <c r="C45" s="31"/>
      <c r="D45" s="441"/>
      <c r="E45" s="442"/>
      <c r="F45" s="47"/>
      <c r="G45" s="47"/>
      <c r="H45" s="47"/>
      <c r="I45" s="46"/>
    </row>
    <row r="46" spans="1:9" ht="219.6" customHeight="1">
      <c r="A46" s="40">
        <v>5</v>
      </c>
      <c r="B46" s="312" t="s">
        <v>56</v>
      </c>
      <c r="C46" s="312"/>
      <c r="D46" s="313"/>
      <c r="E46" s="437" t="s">
        <v>57</v>
      </c>
      <c r="F46" s="47"/>
      <c r="G46" s="47"/>
      <c r="H46" s="47"/>
      <c r="I46" s="46"/>
    </row>
    <row r="47" spans="1:9" ht="12.95">
      <c r="A47" s="18"/>
      <c r="B47" s="140"/>
      <c r="C47" s="140"/>
      <c r="D47" s="140"/>
      <c r="E47" s="443"/>
      <c r="F47" s="47"/>
      <c r="G47" s="47"/>
      <c r="H47" s="47"/>
      <c r="I47" s="46"/>
    </row>
    <row r="48" spans="1:9" ht="181.5" customHeight="1">
      <c r="A48" s="100">
        <v>6</v>
      </c>
      <c r="B48" s="316" t="s">
        <v>58</v>
      </c>
      <c r="C48" s="316"/>
      <c r="D48" s="316"/>
      <c r="E48" s="437" t="s">
        <v>59</v>
      </c>
      <c r="F48" s="47"/>
      <c r="G48" s="47"/>
      <c r="H48" s="47"/>
      <c r="I48" s="46"/>
    </row>
    <row r="49" spans="1:9">
      <c r="A49" s="444"/>
      <c r="B49" s="441"/>
      <c r="C49" s="441"/>
      <c r="D49" s="445"/>
      <c r="E49" s="446"/>
      <c r="F49" s="47"/>
      <c r="G49" s="47"/>
      <c r="H49" s="47"/>
      <c r="I49" s="46"/>
    </row>
    <row r="50" spans="1:9">
      <c r="A50" s="47"/>
      <c r="B50" s="47"/>
      <c r="C50" s="47"/>
      <c r="D50" s="447"/>
      <c r="E50" s="447"/>
      <c r="F50" s="447"/>
      <c r="G50" s="47"/>
      <c r="H50" s="47"/>
      <c r="I50" s="47"/>
    </row>
    <row r="51" spans="1:9" ht="12.95">
      <c r="A51" s="9" t="s">
        <v>60</v>
      </c>
      <c r="B51" s="47"/>
      <c r="C51" s="47"/>
      <c r="D51" s="447"/>
      <c r="E51" s="447"/>
      <c r="F51" s="447"/>
      <c r="G51" s="47"/>
      <c r="H51" s="47"/>
      <c r="I51" s="47"/>
    </row>
    <row r="52" spans="1:9">
      <c r="A52" s="47">
        <v>1</v>
      </c>
      <c r="B52" s="82" t="s">
        <v>61</v>
      </c>
      <c r="C52" s="47"/>
      <c r="D52" s="447"/>
      <c r="E52" s="447"/>
      <c r="F52" s="447"/>
      <c r="G52" s="47"/>
      <c r="H52" s="47"/>
      <c r="I52" s="47"/>
    </row>
    <row r="53" spans="1:9">
      <c r="A53" s="47">
        <v>2</v>
      </c>
      <c r="B53" s="47" t="s">
        <v>62</v>
      </c>
      <c r="C53" s="47"/>
      <c r="D53" s="447"/>
      <c r="E53" s="447"/>
      <c r="F53" s="447"/>
      <c r="G53" s="47"/>
      <c r="H53" s="47"/>
      <c r="I53" s="47"/>
    </row>
    <row r="54" spans="1:9">
      <c r="A54" s="47">
        <v>3</v>
      </c>
      <c r="B54" s="47" t="s">
        <v>63</v>
      </c>
      <c r="C54" s="47"/>
      <c r="D54" s="447"/>
      <c r="E54" s="447"/>
      <c r="F54" s="447"/>
      <c r="G54" s="47"/>
      <c r="H54" s="47"/>
      <c r="I54" s="47"/>
    </row>
    <row r="55" spans="1:9">
      <c r="A55" s="47"/>
      <c r="B55" s="47"/>
      <c r="C55" s="47"/>
      <c r="D55" s="447"/>
      <c r="E55" s="447"/>
      <c r="F55" s="447"/>
      <c r="G55" s="47"/>
      <c r="H55" s="47"/>
      <c r="I55" s="47"/>
    </row>
  </sheetData>
  <mergeCells count="13">
    <mergeCell ref="B46:D46"/>
    <mergeCell ref="B40:D40"/>
    <mergeCell ref="B48:D48"/>
    <mergeCell ref="B20:C20"/>
    <mergeCell ref="B25:C25"/>
    <mergeCell ref="C32:I32"/>
    <mergeCell ref="C34:D34"/>
    <mergeCell ref="B23:H23"/>
    <mergeCell ref="B38:D38"/>
    <mergeCell ref="B44:D44"/>
    <mergeCell ref="B42:D42"/>
    <mergeCell ref="B21:C22"/>
    <mergeCell ref="B26:C27"/>
  </mergeCells>
  <phoneticPr fontId="12" type="noConversion"/>
  <pageMargins left="0.23622047244094491" right="0.23622047244094491" top="0.59055118110236227" bottom="0.59055118110236227" header="0.23622047244094491" footer="0.23622047244094491"/>
  <pageSetup paperSize="9" scale="60" orientation="landscape" horizontalDpi="300" verticalDpi="300" r:id="rId1"/>
  <headerFooter alignWithMargins="0">
    <oddHeader>&amp;C&amp;"Arial,Bold"PLACEMENT SLIP
&amp;"Arial,Regular"&amp;8&amp;A&amp;R&amp;8&amp;G</oddHeader>
    <oddFooter>&amp;LProceed cover
_____________________
Client Sign / Date&amp;C&amp;8This is to effect cover, not a contract. The signed qtn slip (if applic) and the policy form the basis of the contract.&amp;10
&amp;6E &amp;&amp; OE&amp;RConfirmed
_____________________
Insurer Sign / Date</oddFooter>
  </headerFooter>
  <rowBreaks count="1" manualBreakCount="1">
    <brk id="35" max="7"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71A9B-A47A-46D9-81BF-ECD2361745F3}">
  <sheetPr codeName="Sheet9"/>
  <dimension ref="A1:I92"/>
  <sheetViews>
    <sheetView view="pageBreakPreview" zoomScale="75" zoomScaleNormal="70" zoomScaleSheetLayoutView="75" zoomScalePageLayoutView="85" workbookViewId="0"/>
  </sheetViews>
  <sheetFormatPr defaultColWidth="9.140625" defaultRowHeight="12.6"/>
  <cols>
    <col min="1" max="1" width="8.42578125" style="82" customWidth="1"/>
    <col min="2" max="2" width="32" style="82" customWidth="1"/>
    <col min="3" max="3" width="9.140625" style="82" customWidth="1"/>
    <col min="4" max="4" width="28.140625" style="82" customWidth="1"/>
    <col min="5" max="5" width="30.85546875" style="82" customWidth="1"/>
    <col min="6" max="6" width="23.85546875" style="82" bestFit="1" customWidth="1"/>
    <col min="7" max="7" width="24.140625" style="82" customWidth="1"/>
    <col min="8" max="8" width="23.85546875" style="82" customWidth="1"/>
    <col min="9" max="9" width="15" style="84" customWidth="1"/>
    <col min="10" max="16384" width="9.140625" style="84"/>
  </cols>
  <sheetData>
    <row r="1" spans="1:9" ht="24.95">
      <c r="A1" s="81" t="s">
        <v>64</v>
      </c>
      <c r="D1" s="83"/>
    </row>
    <row r="2" spans="1:9" ht="15" customHeight="1">
      <c r="A2" s="81"/>
      <c r="D2" s="83"/>
    </row>
    <row r="3" spans="1:9" ht="12.95">
      <c r="A3" s="9" t="s">
        <v>1</v>
      </c>
      <c r="B3" s="9"/>
      <c r="C3" s="47"/>
      <c r="D3" s="25"/>
      <c r="E3" s="47"/>
      <c r="F3" s="47"/>
      <c r="G3" s="47"/>
      <c r="H3" s="47"/>
      <c r="I3" s="47"/>
    </row>
    <row r="4" spans="1:9" ht="12.95">
      <c r="A4" s="9" t="s">
        <v>2</v>
      </c>
      <c r="B4" s="9"/>
      <c r="C4" s="47" t="s">
        <v>3</v>
      </c>
      <c r="D4" s="25"/>
      <c r="E4" s="47"/>
      <c r="F4" s="47"/>
      <c r="G4" s="47"/>
      <c r="H4" s="47"/>
      <c r="I4" s="47"/>
    </row>
    <row r="5" spans="1:9" ht="12.95">
      <c r="A5" s="9" t="s">
        <v>4</v>
      </c>
      <c r="B5" s="9"/>
      <c r="C5" s="47" t="s">
        <v>3</v>
      </c>
      <c r="D5" s="25"/>
      <c r="E5" s="47"/>
      <c r="F5" s="47"/>
      <c r="G5" s="47"/>
      <c r="H5" s="47"/>
      <c r="I5" s="47"/>
    </row>
    <row r="6" spans="1:9" ht="12.95">
      <c r="A6" s="9" t="s">
        <v>5</v>
      </c>
      <c r="B6" s="9"/>
      <c r="C6" s="47" t="s">
        <v>6</v>
      </c>
      <c r="D6" s="25"/>
      <c r="E6" s="47"/>
      <c r="F6" s="47"/>
      <c r="G6" s="47"/>
      <c r="H6" s="47"/>
      <c r="I6" s="47"/>
    </row>
    <row r="7" spans="1:9" ht="12.95">
      <c r="A7" s="9" t="s">
        <v>7</v>
      </c>
      <c r="B7" s="9"/>
      <c r="C7" s="47" t="s">
        <v>8</v>
      </c>
      <c r="D7" s="25"/>
      <c r="E7" s="47"/>
      <c r="F7" s="47"/>
      <c r="G7" s="47"/>
      <c r="H7" s="47"/>
      <c r="I7" s="47"/>
    </row>
    <row r="8" spans="1:9" ht="12.95">
      <c r="A8" s="9" t="s">
        <v>9</v>
      </c>
      <c r="B8" s="9"/>
      <c r="C8" s="47" t="s">
        <v>10</v>
      </c>
      <c r="D8" s="47"/>
      <c r="E8" s="47"/>
      <c r="F8" s="47"/>
      <c r="G8" s="47"/>
      <c r="H8" s="47"/>
      <c r="I8" s="47"/>
    </row>
    <row r="9" spans="1:9" ht="12.95">
      <c r="A9" s="9" t="s">
        <v>11</v>
      </c>
      <c r="B9" s="9"/>
      <c r="C9" s="47" t="s">
        <v>12</v>
      </c>
      <c r="D9" s="47"/>
      <c r="E9" s="47"/>
      <c r="F9" s="47"/>
      <c r="G9" s="47"/>
      <c r="H9" s="47"/>
      <c r="I9" s="47"/>
    </row>
    <row r="10" spans="1:9" ht="12.95">
      <c r="A10" s="9" t="s">
        <v>13</v>
      </c>
      <c r="B10" s="9"/>
      <c r="C10" s="47"/>
      <c r="D10" s="47"/>
      <c r="E10" s="47"/>
      <c r="F10" s="47"/>
      <c r="G10" s="47"/>
      <c r="H10" s="47"/>
      <c r="I10" s="47"/>
    </row>
    <row r="11" spans="1:9" ht="12.95">
      <c r="A11" s="9" t="s">
        <v>14</v>
      </c>
      <c r="B11" s="9"/>
      <c r="C11" s="416">
        <v>50011653</v>
      </c>
      <c r="D11" s="47"/>
      <c r="E11" s="47"/>
      <c r="F11" s="47"/>
      <c r="G11" s="47"/>
      <c r="H11" s="47"/>
      <c r="I11" s="47"/>
    </row>
    <row r="12" spans="1:9" ht="12.95">
      <c r="A12" s="9"/>
      <c r="B12" s="9"/>
      <c r="C12" s="47"/>
      <c r="D12" s="47"/>
      <c r="E12" s="47"/>
      <c r="F12" s="47"/>
      <c r="G12" s="47"/>
      <c r="H12" s="47"/>
      <c r="I12" s="47"/>
    </row>
    <row r="13" spans="1:9" s="5" customFormat="1" ht="12.95">
      <c r="A13" s="9" t="s">
        <v>15</v>
      </c>
      <c r="B13" s="9"/>
      <c r="C13" s="47" t="s">
        <v>16</v>
      </c>
      <c r="D13" s="9"/>
      <c r="E13" s="47"/>
      <c r="F13" s="47"/>
      <c r="G13" s="47"/>
      <c r="H13" s="47"/>
      <c r="I13" s="47"/>
    </row>
    <row r="14" spans="1:9" s="5" customFormat="1" ht="12.95">
      <c r="A14" s="9" t="s">
        <v>17</v>
      </c>
      <c r="B14" s="9"/>
      <c r="C14" s="47" t="s">
        <v>18</v>
      </c>
      <c r="D14" s="9"/>
      <c r="E14" s="47"/>
      <c r="F14" s="47"/>
      <c r="G14" s="47"/>
      <c r="H14" s="47"/>
      <c r="I14" s="47"/>
    </row>
    <row r="15" spans="1:9" s="5" customFormat="1" ht="12.95">
      <c r="A15" s="9" t="s">
        <v>19</v>
      </c>
      <c r="B15" s="9"/>
      <c r="C15" s="416" t="s">
        <v>20</v>
      </c>
      <c r="D15" s="47"/>
      <c r="E15" s="47"/>
      <c r="F15" s="47"/>
      <c r="G15" s="47"/>
      <c r="H15" s="47"/>
      <c r="I15" s="47"/>
    </row>
    <row r="16" spans="1:9" ht="12.95">
      <c r="A16" s="9"/>
      <c r="B16" s="47"/>
      <c r="C16" s="47"/>
      <c r="D16" s="47"/>
      <c r="E16" s="47"/>
      <c r="F16" s="9"/>
      <c r="G16" s="47"/>
      <c r="H16" s="47"/>
      <c r="I16" s="47"/>
    </row>
    <row r="17" spans="1:9" ht="12.95">
      <c r="A17" s="9" t="s">
        <v>21</v>
      </c>
      <c r="B17" s="47"/>
      <c r="C17" s="47" t="s">
        <v>22</v>
      </c>
      <c r="D17" s="47"/>
      <c r="E17" s="47"/>
      <c r="F17" s="9"/>
      <c r="G17" s="47"/>
      <c r="H17" s="47"/>
      <c r="I17" s="47"/>
    </row>
    <row r="19" spans="1:9" ht="12.95">
      <c r="A19" s="85" t="s">
        <v>23</v>
      </c>
    </row>
    <row r="20" spans="1:9">
      <c r="B20" s="321" t="s">
        <v>24</v>
      </c>
      <c r="C20" s="322"/>
      <c r="D20" s="223" t="s">
        <v>25</v>
      </c>
      <c r="E20" s="222" t="s">
        <v>26</v>
      </c>
      <c r="F20" s="223" t="s">
        <v>27</v>
      </c>
      <c r="G20" s="223" t="s">
        <v>28</v>
      </c>
      <c r="H20" s="223" t="s">
        <v>29</v>
      </c>
    </row>
    <row r="21" spans="1:9">
      <c r="B21" s="328" t="s">
        <v>30</v>
      </c>
      <c r="C21" s="329"/>
      <c r="D21" s="224" t="s">
        <v>31</v>
      </c>
      <c r="E21" s="225" t="s">
        <v>32</v>
      </c>
      <c r="F21" s="308">
        <v>1</v>
      </c>
      <c r="G21" s="424" t="s">
        <v>65</v>
      </c>
      <c r="H21" s="241">
        <f>F21*50000</f>
        <v>50000</v>
      </c>
    </row>
    <row r="22" spans="1:9" ht="24.95">
      <c r="B22" s="330"/>
      <c r="C22" s="331"/>
      <c r="D22" s="240" t="s">
        <v>34</v>
      </c>
      <c r="E22" s="228" t="s">
        <v>32</v>
      </c>
      <c r="F22" s="448">
        <v>1</v>
      </c>
      <c r="G22" s="449" t="s">
        <v>66</v>
      </c>
      <c r="H22" s="292">
        <f>F22*30000</f>
        <v>30000</v>
      </c>
    </row>
    <row r="23" spans="1:9" ht="12.95">
      <c r="A23" s="85"/>
      <c r="B23" s="323" t="s">
        <v>36</v>
      </c>
      <c r="C23" s="324"/>
      <c r="D23" s="324"/>
      <c r="E23" s="324"/>
      <c r="F23" s="324"/>
      <c r="G23" s="325"/>
      <c r="H23" s="324"/>
    </row>
    <row r="24" spans="1:9" ht="12.95">
      <c r="A24" s="85"/>
      <c r="B24" s="85"/>
      <c r="E24" s="85"/>
    </row>
    <row r="25" spans="1:9" ht="24.95">
      <c r="A25" s="85" t="s">
        <v>37</v>
      </c>
      <c r="B25" s="321" t="s">
        <v>24</v>
      </c>
      <c r="C25" s="322"/>
      <c r="D25" s="223" t="s">
        <v>25</v>
      </c>
      <c r="E25" s="222" t="s">
        <v>38</v>
      </c>
      <c r="F25" s="230" t="s">
        <v>39</v>
      </c>
      <c r="G25" s="223" t="s">
        <v>67</v>
      </c>
      <c r="H25" s="89"/>
    </row>
    <row r="26" spans="1:9">
      <c r="B26" s="328" t="s">
        <v>30</v>
      </c>
      <c r="C26" s="329"/>
      <c r="D26" s="224" t="s">
        <v>31</v>
      </c>
      <c r="E26" s="243">
        <f>H21</f>
        <v>50000</v>
      </c>
      <c r="F26" s="236">
        <v>2.4</v>
      </c>
      <c r="G26" s="236">
        <f>E26/1000*F26</f>
        <v>120</v>
      </c>
    </row>
    <row r="27" spans="1:9" ht="24.95">
      <c r="B27" s="330"/>
      <c r="C27" s="331"/>
      <c r="D27" s="240" t="s">
        <v>34</v>
      </c>
      <c r="E27" s="242">
        <f>H22</f>
        <v>30000</v>
      </c>
      <c r="F27" s="237">
        <v>2.4</v>
      </c>
      <c r="G27" s="237">
        <f>E27/1000*F27</f>
        <v>72</v>
      </c>
    </row>
    <row r="28" spans="1:9">
      <c r="D28" s="89"/>
      <c r="E28" s="117"/>
      <c r="F28" s="117"/>
    </row>
    <row r="29" spans="1:9">
      <c r="D29" s="89"/>
      <c r="E29" s="117"/>
      <c r="F29" s="117"/>
    </row>
    <row r="30" spans="1:9" ht="12.95">
      <c r="A30" s="85" t="s">
        <v>68</v>
      </c>
      <c r="B30" s="85"/>
      <c r="C30" s="244">
        <f>SUM(G26:G27)</f>
        <v>192</v>
      </c>
      <c r="D30" s="85"/>
    </row>
    <row r="31" spans="1:9" ht="12.95">
      <c r="A31" s="85"/>
      <c r="B31" s="85"/>
      <c r="C31" s="85"/>
      <c r="D31" s="85"/>
    </row>
    <row r="32" spans="1:9" ht="30" customHeight="1">
      <c r="A32" s="85" t="s">
        <v>42</v>
      </c>
      <c r="C32" s="435" t="s">
        <v>69</v>
      </c>
      <c r="D32" s="435"/>
      <c r="E32" s="435"/>
      <c r="F32" s="435"/>
      <c r="G32" s="435"/>
      <c r="H32" s="435"/>
      <c r="I32" s="435"/>
    </row>
    <row r="33" spans="1:8" ht="13.5" customHeight="1">
      <c r="A33" s="85"/>
      <c r="C33" s="86"/>
      <c r="D33" s="86"/>
      <c r="E33" s="86"/>
      <c r="F33" s="86"/>
      <c r="G33" s="86"/>
      <c r="H33" s="86"/>
    </row>
    <row r="34" spans="1:8" ht="12.95">
      <c r="A34" s="85" t="s">
        <v>44</v>
      </c>
      <c r="C34" s="326">
        <v>50000</v>
      </c>
      <c r="D34" s="327"/>
    </row>
    <row r="36" spans="1:8" ht="12.95">
      <c r="A36" s="85" t="s">
        <v>70</v>
      </c>
      <c r="B36" s="85" t="s">
        <v>46</v>
      </c>
    </row>
    <row r="37" spans="1:8" ht="12.95">
      <c r="A37" s="92" t="s">
        <v>71</v>
      </c>
      <c r="B37" s="93"/>
      <c r="C37" s="93"/>
      <c r="D37" s="94"/>
      <c r="E37" s="118"/>
    </row>
    <row r="38" spans="1:8" ht="12.95">
      <c r="A38" s="119"/>
      <c r="B38" s="120"/>
      <c r="C38" s="120"/>
      <c r="D38" s="121"/>
      <c r="E38" s="122"/>
    </row>
    <row r="39" spans="1:8" ht="12.75" customHeight="1">
      <c r="A39" s="123">
        <v>1</v>
      </c>
      <c r="B39" s="97" t="s">
        <v>72</v>
      </c>
      <c r="C39" s="97"/>
      <c r="D39" s="124"/>
      <c r="E39" s="125" t="s">
        <v>73</v>
      </c>
    </row>
    <row r="40" spans="1:8" ht="12.95">
      <c r="A40" s="110" t="s">
        <v>74</v>
      </c>
      <c r="B40" s="85" t="s">
        <v>75</v>
      </c>
      <c r="C40" s="85"/>
      <c r="D40" s="87"/>
      <c r="E40" s="102" t="s">
        <v>76</v>
      </c>
    </row>
    <row r="41" spans="1:8" ht="12.95">
      <c r="A41" s="110"/>
      <c r="B41" s="85" t="s">
        <v>77</v>
      </c>
      <c r="C41" s="85"/>
      <c r="D41" s="87"/>
      <c r="E41" s="102"/>
    </row>
    <row r="42" spans="1:8" ht="12.75" customHeight="1">
      <c r="A42" s="110">
        <v>2</v>
      </c>
      <c r="B42" s="85" t="s">
        <v>78</v>
      </c>
      <c r="C42" s="85"/>
      <c r="D42" s="87"/>
      <c r="E42" s="126" t="s">
        <v>79</v>
      </c>
    </row>
    <row r="43" spans="1:8" ht="12.95">
      <c r="A43" s="110"/>
      <c r="B43" s="85" t="s">
        <v>77</v>
      </c>
      <c r="C43" s="85"/>
      <c r="D43" s="87"/>
      <c r="E43" s="102"/>
    </row>
    <row r="44" spans="1:8" ht="12.95">
      <c r="A44" s="104">
        <v>3</v>
      </c>
      <c r="B44" s="85" t="s">
        <v>80</v>
      </c>
      <c r="C44" s="85"/>
      <c r="D44" s="87"/>
      <c r="E44" s="150" t="s">
        <v>79</v>
      </c>
    </row>
    <row r="45" spans="1:8" ht="12.95">
      <c r="A45" s="104"/>
      <c r="B45" s="85" t="s">
        <v>77</v>
      </c>
      <c r="C45" s="85"/>
      <c r="D45" s="87"/>
      <c r="E45" s="102"/>
    </row>
    <row r="46" spans="1:8" ht="12.95">
      <c r="A46" s="104">
        <v>4</v>
      </c>
      <c r="B46" s="316" t="s">
        <v>81</v>
      </c>
      <c r="C46" s="316"/>
      <c r="D46" s="316"/>
      <c r="E46" s="126" t="s">
        <v>79</v>
      </c>
    </row>
    <row r="47" spans="1:8" ht="12.95">
      <c r="A47" s="104"/>
      <c r="B47" s="107"/>
      <c r="C47" s="107"/>
      <c r="D47" s="107"/>
      <c r="E47" s="112"/>
    </row>
    <row r="48" spans="1:8" ht="12.95">
      <c r="A48" s="131">
        <v>5</v>
      </c>
      <c r="B48" s="132" t="s">
        <v>82</v>
      </c>
      <c r="C48" s="133"/>
      <c r="D48" s="134"/>
      <c r="E48" s="128">
        <v>50000</v>
      </c>
    </row>
    <row r="49" spans="1:5" ht="12.95">
      <c r="A49" s="92"/>
      <c r="B49" s="93"/>
      <c r="C49" s="93"/>
      <c r="D49" s="157"/>
      <c r="E49" s="118"/>
    </row>
    <row r="50" spans="1:5" ht="12.95">
      <c r="A50" s="119"/>
      <c r="B50" s="120" t="s">
        <v>83</v>
      </c>
      <c r="C50" s="120"/>
      <c r="D50" s="302">
        <v>1</v>
      </c>
      <c r="E50" s="79" t="s">
        <v>84</v>
      </c>
    </row>
    <row r="51" spans="1:5">
      <c r="A51" s="130"/>
      <c r="B51" s="87"/>
      <c r="C51" s="87"/>
      <c r="D51" s="129">
        <v>2</v>
      </c>
      <c r="E51" s="80" t="s">
        <v>85</v>
      </c>
    </row>
    <row r="52" spans="1:5">
      <c r="A52" s="130"/>
      <c r="B52" s="87"/>
      <c r="C52" s="87"/>
      <c r="D52" s="129">
        <v>3</v>
      </c>
      <c r="E52" s="80" t="s">
        <v>86</v>
      </c>
    </row>
    <row r="53" spans="1:5">
      <c r="A53" s="130"/>
      <c r="B53" s="87"/>
      <c r="C53" s="87"/>
      <c r="D53" s="129">
        <v>4</v>
      </c>
      <c r="E53" s="80" t="s">
        <v>87</v>
      </c>
    </row>
    <row r="54" spans="1:5">
      <c r="A54" s="130"/>
      <c r="B54" s="87"/>
      <c r="C54" s="87"/>
      <c r="D54" s="129">
        <v>5</v>
      </c>
      <c r="E54" s="80" t="s">
        <v>88</v>
      </c>
    </row>
    <row r="55" spans="1:5">
      <c r="A55" s="130"/>
      <c r="B55" s="87"/>
      <c r="C55" s="87"/>
      <c r="D55" s="129">
        <v>6</v>
      </c>
      <c r="E55" s="80" t="s">
        <v>89</v>
      </c>
    </row>
    <row r="56" spans="1:5">
      <c r="A56" s="130"/>
      <c r="B56" s="87"/>
      <c r="C56" s="87"/>
      <c r="D56" s="129">
        <v>7</v>
      </c>
      <c r="E56" s="80" t="s">
        <v>90</v>
      </c>
    </row>
    <row r="57" spans="1:5">
      <c r="A57" s="130"/>
      <c r="B57" s="87"/>
      <c r="C57" s="87"/>
      <c r="D57" s="129">
        <v>8</v>
      </c>
      <c r="E57" s="80" t="s">
        <v>91</v>
      </c>
    </row>
    <row r="58" spans="1:5">
      <c r="A58" s="130"/>
      <c r="B58" s="87"/>
      <c r="C58" s="87"/>
      <c r="D58" s="129">
        <v>9</v>
      </c>
      <c r="E58" s="80" t="s">
        <v>92</v>
      </c>
    </row>
    <row r="59" spans="1:5">
      <c r="A59" s="130"/>
      <c r="B59" s="87"/>
      <c r="C59" s="87"/>
      <c r="D59" s="129">
        <v>10</v>
      </c>
      <c r="E59" s="80" t="s">
        <v>93</v>
      </c>
    </row>
    <row r="60" spans="1:5">
      <c r="A60" s="130"/>
      <c r="B60" s="87"/>
      <c r="C60" s="87"/>
      <c r="D60" s="129">
        <v>11</v>
      </c>
      <c r="E60" s="80" t="s">
        <v>94</v>
      </c>
    </row>
    <row r="61" spans="1:5">
      <c r="A61" s="130"/>
      <c r="B61" s="87"/>
      <c r="C61" s="87"/>
      <c r="D61" s="129">
        <v>12</v>
      </c>
      <c r="E61" s="80" t="s">
        <v>95</v>
      </c>
    </row>
    <row r="62" spans="1:5">
      <c r="A62" s="130"/>
      <c r="B62" s="87"/>
      <c r="C62" s="87"/>
      <c r="D62" s="129">
        <v>13</v>
      </c>
      <c r="E62" s="80" t="s">
        <v>96</v>
      </c>
    </row>
    <row r="63" spans="1:5" ht="23.1">
      <c r="A63" s="130"/>
      <c r="B63" s="87"/>
      <c r="C63" s="87"/>
      <c r="D63" s="129">
        <v>14</v>
      </c>
      <c r="E63" s="80" t="s">
        <v>97</v>
      </c>
    </row>
    <row r="64" spans="1:5">
      <c r="A64" s="130"/>
      <c r="B64" s="87"/>
      <c r="C64" s="87"/>
      <c r="D64" s="129">
        <v>15</v>
      </c>
      <c r="E64" s="80" t="s">
        <v>98</v>
      </c>
    </row>
    <row r="65" spans="1:5">
      <c r="A65" s="130"/>
      <c r="B65" s="87"/>
      <c r="C65" s="87"/>
      <c r="D65" s="129">
        <v>16</v>
      </c>
      <c r="E65" s="80" t="s">
        <v>99</v>
      </c>
    </row>
    <row r="66" spans="1:5">
      <c r="A66" s="130"/>
      <c r="B66" s="87"/>
      <c r="C66" s="87"/>
      <c r="D66" s="129">
        <v>17</v>
      </c>
      <c r="E66" s="80" t="s">
        <v>100</v>
      </c>
    </row>
    <row r="67" spans="1:5">
      <c r="A67" s="130"/>
      <c r="B67" s="87"/>
      <c r="C67" s="87"/>
      <c r="D67" s="129">
        <v>18</v>
      </c>
      <c r="E67" s="80" t="s">
        <v>101</v>
      </c>
    </row>
    <row r="68" spans="1:5">
      <c r="A68" s="130"/>
      <c r="B68" s="87"/>
      <c r="C68" s="87"/>
      <c r="D68" s="129">
        <v>19</v>
      </c>
      <c r="E68" s="80" t="s">
        <v>102</v>
      </c>
    </row>
    <row r="69" spans="1:5">
      <c r="A69" s="130"/>
      <c r="B69" s="87"/>
      <c r="C69" s="87"/>
      <c r="D69" s="129">
        <v>20</v>
      </c>
      <c r="E69" s="80" t="s">
        <v>103</v>
      </c>
    </row>
    <row r="70" spans="1:5" ht="12.95">
      <c r="A70" s="130"/>
      <c r="B70" s="111"/>
      <c r="C70" s="87"/>
      <c r="D70" s="129">
        <v>21</v>
      </c>
      <c r="E70" s="80" t="s">
        <v>104</v>
      </c>
    </row>
    <row r="71" spans="1:5">
      <c r="A71" s="130"/>
      <c r="B71" s="87"/>
      <c r="C71" s="87"/>
      <c r="D71" s="129">
        <v>22</v>
      </c>
      <c r="E71" s="80" t="s">
        <v>105</v>
      </c>
    </row>
    <row r="72" spans="1:5" ht="23.1">
      <c r="A72" s="130"/>
      <c r="B72" s="87"/>
      <c r="C72" s="87"/>
      <c r="D72" s="129">
        <v>23</v>
      </c>
      <c r="E72" s="80" t="s">
        <v>106</v>
      </c>
    </row>
    <row r="73" spans="1:5">
      <c r="A73" s="130"/>
      <c r="B73" s="87"/>
      <c r="C73" s="87"/>
      <c r="D73" s="129">
        <v>24</v>
      </c>
      <c r="E73" s="80" t="s">
        <v>107</v>
      </c>
    </row>
    <row r="74" spans="1:5">
      <c r="A74" s="130"/>
      <c r="B74" s="87"/>
      <c r="C74" s="87"/>
      <c r="D74" s="129">
        <v>25</v>
      </c>
      <c r="E74" s="80" t="s">
        <v>108</v>
      </c>
    </row>
    <row r="75" spans="1:5" ht="12.95">
      <c r="A75" s="130"/>
      <c r="B75" s="111"/>
      <c r="C75" s="87"/>
      <c r="D75" s="129">
        <v>26</v>
      </c>
      <c r="E75" s="80" t="s">
        <v>109</v>
      </c>
    </row>
    <row r="76" spans="1:5" ht="23.1">
      <c r="A76" s="130"/>
      <c r="B76" s="87"/>
      <c r="C76" s="87"/>
      <c r="D76" s="129">
        <v>27</v>
      </c>
      <c r="E76" s="80" t="s">
        <v>110</v>
      </c>
    </row>
    <row r="77" spans="1:5">
      <c r="A77" s="130"/>
      <c r="B77" s="87"/>
      <c r="C77" s="87"/>
      <c r="D77" s="129">
        <v>28</v>
      </c>
      <c r="E77" s="80" t="s">
        <v>111</v>
      </c>
    </row>
    <row r="78" spans="1:5">
      <c r="A78" s="130"/>
      <c r="B78" s="87"/>
      <c r="C78" s="87"/>
      <c r="D78" s="129">
        <v>29</v>
      </c>
      <c r="E78" s="80" t="s">
        <v>112</v>
      </c>
    </row>
    <row r="79" spans="1:5">
      <c r="A79" s="130"/>
      <c r="B79" s="87"/>
      <c r="C79" s="87"/>
      <c r="D79" s="129">
        <v>30</v>
      </c>
      <c r="E79" s="80" t="s">
        <v>113</v>
      </c>
    </row>
    <row r="80" spans="1:5">
      <c r="A80" s="130"/>
      <c r="B80" s="87"/>
      <c r="C80" s="87"/>
      <c r="D80" s="129">
        <v>31</v>
      </c>
      <c r="E80" s="80" t="s">
        <v>114</v>
      </c>
    </row>
    <row r="81" spans="1:5">
      <c r="A81" s="130"/>
      <c r="B81" s="87"/>
      <c r="C81" s="87"/>
      <c r="D81" s="129">
        <v>32</v>
      </c>
      <c r="E81" s="80" t="s">
        <v>115</v>
      </c>
    </row>
    <row r="82" spans="1:5">
      <c r="A82" s="130"/>
      <c r="B82" s="87"/>
      <c r="C82" s="87"/>
      <c r="D82" s="129">
        <v>33</v>
      </c>
      <c r="E82" s="80" t="s">
        <v>116</v>
      </c>
    </row>
    <row r="83" spans="1:5" ht="23.1">
      <c r="A83" s="130"/>
      <c r="B83" s="87"/>
      <c r="C83" s="87"/>
      <c r="D83" s="129">
        <v>34</v>
      </c>
      <c r="E83" s="80" t="s">
        <v>117</v>
      </c>
    </row>
    <row r="84" spans="1:5">
      <c r="A84" s="130"/>
      <c r="B84" s="87"/>
      <c r="C84" s="87"/>
      <c r="D84" s="129">
        <v>35</v>
      </c>
      <c r="E84" s="80" t="s">
        <v>118</v>
      </c>
    </row>
    <row r="85" spans="1:5">
      <c r="A85" s="130"/>
      <c r="B85" s="87"/>
      <c r="C85" s="87"/>
      <c r="D85" s="129">
        <v>36</v>
      </c>
      <c r="E85" s="80" t="s">
        <v>119</v>
      </c>
    </row>
    <row r="86" spans="1:5">
      <c r="A86" s="130"/>
      <c r="B86" s="87"/>
      <c r="C86" s="87"/>
      <c r="D86" s="129">
        <v>37</v>
      </c>
      <c r="E86" s="80" t="s">
        <v>120</v>
      </c>
    </row>
    <row r="87" spans="1:5" ht="12.95">
      <c r="A87" s="131"/>
      <c r="B87" s="132"/>
      <c r="C87" s="133"/>
      <c r="D87" s="134"/>
      <c r="E87" s="128"/>
    </row>
    <row r="88" spans="1:5">
      <c r="D88" s="127"/>
      <c r="E88" s="127"/>
    </row>
    <row r="89" spans="1:5" ht="12.95">
      <c r="A89" s="85" t="s">
        <v>60</v>
      </c>
      <c r="B89" s="86"/>
      <c r="C89" s="86"/>
    </row>
    <row r="90" spans="1:5">
      <c r="A90" s="47">
        <v>1</v>
      </c>
      <c r="B90" s="82" t="s">
        <v>61</v>
      </c>
      <c r="C90" s="47"/>
      <c r="D90" s="47"/>
      <c r="E90" s="47"/>
    </row>
    <row r="91" spans="1:5">
      <c r="A91" s="47">
        <v>2</v>
      </c>
      <c r="B91" s="47" t="s">
        <v>121</v>
      </c>
      <c r="C91" s="47"/>
      <c r="D91" s="47"/>
      <c r="E91" s="47"/>
    </row>
    <row r="92" spans="1:5">
      <c r="A92" s="47">
        <v>3</v>
      </c>
      <c r="B92" s="47" t="s">
        <v>122</v>
      </c>
      <c r="C92" s="47"/>
      <c r="D92" s="47"/>
      <c r="E92" s="47"/>
    </row>
  </sheetData>
  <mergeCells count="8">
    <mergeCell ref="C32:I32"/>
    <mergeCell ref="B46:D46"/>
    <mergeCell ref="B20:C20"/>
    <mergeCell ref="B23:H23"/>
    <mergeCell ref="B25:C25"/>
    <mergeCell ref="C34:D34"/>
    <mergeCell ref="B21:C22"/>
    <mergeCell ref="B26:C27"/>
  </mergeCells>
  <pageMargins left="0.23622047244094491" right="0.23622047244094491" top="0.59055118110236227" bottom="0.59055118110236227" header="0.23622047244094491" footer="0.23622047244094491"/>
  <pageSetup paperSize="9" scale="65" orientation="landscape" r:id="rId1"/>
  <headerFooter alignWithMargins="0">
    <oddHeader>&amp;C&amp;"Arial,Bold"PLACEMENT SLIP
&amp;"Arial,Regular"&amp;8&amp;A&amp;R&amp;G</oddHeader>
    <oddFooter>&amp;LProceed cover
_____________________
Client Sign / Date&amp;C&amp;8This is to effect cover, not a contract. The signed qtn slip (if applic) and the policy form the basis of the contract.&amp;10
&amp;6E &amp;&amp; OE&amp;RConfirmed
_____________________
Insurer Sign / Date</oddFooter>
  </headerFooter>
  <rowBreaks count="1" manualBreakCount="1">
    <brk id="49" max="8"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EC66-27F2-4E2F-AD6B-8644090209D7}">
  <sheetPr codeName="Sheet3"/>
  <dimension ref="A1:R123"/>
  <sheetViews>
    <sheetView view="pageBreakPreview" zoomScale="85" zoomScaleNormal="70" zoomScaleSheetLayoutView="85" zoomScalePageLayoutView="85" workbookViewId="0"/>
  </sheetViews>
  <sheetFormatPr defaultColWidth="9.140625" defaultRowHeight="12.6"/>
  <cols>
    <col min="1" max="1" width="7.5703125" style="44" customWidth="1"/>
    <col min="2" max="2" width="27" style="8" customWidth="1"/>
    <col min="3" max="3" width="10.140625" style="44" customWidth="1"/>
    <col min="4" max="5" width="10.85546875" style="44" customWidth="1"/>
    <col min="6" max="6" width="5.85546875" style="44" customWidth="1"/>
    <col min="7" max="7" width="20.85546875" style="44" customWidth="1"/>
    <col min="8" max="8" width="14.85546875" style="44" customWidth="1"/>
    <col min="9" max="9" width="13.85546875" style="44" customWidth="1"/>
    <col min="10" max="10" width="14.140625" style="44" customWidth="1"/>
    <col min="11" max="11" width="14.5703125" style="44" customWidth="1"/>
    <col min="12" max="12" width="12.85546875" style="44" customWidth="1"/>
    <col min="13" max="13" width="10.85546875" style="44" customWidth="1"/>
    <col min="14" max="14" width="9.140625" style="44"/>
    <col min="15" max="15" width="5.5703125" style="44" customWidth="1"/>
    <col min="16" max="16" width="5.85546875" style="43" customWidth="1"/>
    <col min="17" max="17" width="23.85546875" style="43" customWidth="1"/>
    <col min="18" max="16384" width="9.140625" style="43"/>
  </cols>
  <sheetData>
    <row r="1" spans="1:9" ht="24.95">
      <c r="A1" s="63" t="s">
        <v>123</v>
      </c>
      <c r="B1" s="65"/>
      <c r="C1" s="47"/>
      <c r="D1" s="47"/>
      <c r="E1" s="47"/>
      <c r="F1" s="47"/>
      <c r="G1" s="47"/>
      <c r="H1" s="47"/>
      <c r="I1" s="47"/>
    </row>
    <row r="2" spans="1:9" ht="15" customHeight="1">
      <c r="A2" s="63"/>
      <c r="B2" s="65"/>
      <c r="C2" s="47"/>
      <c r="D2" s="47"/>
      <c r="E2" s="47"/>
      <c r="F2" s="64"/>
      <c r="G2" s="64"/>
      <c r="H2" s="64"/>
      <c r="I2" s="64"/>
    </row>
    <row r="3" spans="1:9" s="84" customFormat="1" ht="12.95">
      <c r="A3" s="9" t="s">
        <v>1</v>
      </c>
      <c r="B3" s="9"/>
      <c r="C3" s="47"/>
      <c r="D3" s="25"/>
      <c r="E3" s="47"/>
      <c r="F3" s="47"/>
      <c r="G3" s="47"/>
      <c r="H3" s="47"/>
      <c r="I3" s="47"/>
    </row>
    <row r="4" spans="1:9" s="84" customFormat="1" ht="12.95">
      <c r="A4" s="9" t="s">
        <v>2</v>
      </c>
      <c r="B4" s="9"/>
      <c r="C4" s="47" t="s">
        <v>3</v>
      </c>
      <c r="D4" s="25"/>
      <c r="E4" s="47"/>
      <c r="F4" s="47"/>
      <c r="G4" s="47"/>
      <c r="H4" s="47"/>
      <c r="I4" s="47"/>
    </row>
    <row r="5" spans="1:9" s="84" customFormat="1" ht="12.95">
      <c r="A5" s="9" t="s">
        <v>4</v>
      </c>
      <c r="B5" s="9"/>
      <c r="C5" s="47" t="s">
        <v>3</v>
      </c>
      <c r="D5" s="25"/>
      <c r="E5" s="47"/>
      <c r="F5" s="47"/>
      <c r="G5" s="47"/>
      <c r="H5" s="47"/>
      <c r="I5" s="47"/>
    </row>
    <row r="6" spans="1:9" s="84" customFormat="1" ht="12.95">
      <c r="A6" s="9" t="s">
        <v>5</v>
      </c>
      <c r="B6" s="9"/>
      <c r="C6" s="47" t="s">
        <v>6</v>
      </c>
      <c r="D6" s="25"/>
      <c r="E6" s="47"/>
      <c r="F6" s="47"/>
      <c r="G6" s="47"/>
      <c r="H6" s="47"/>
      <c r="I6" s="47"/>
    </row>
    <row r="7" spans="1:9" s="84" customFormat="1" ht="12.95">
      <c r="A7" s="9" t="s">
        <v>7</v>
      </c>
      <c r="B7" s="9"/>
      <c r="C7" s="47" t="s">
        <v>8</v>
      </c>
      <c r="D7" s="25"/>
      <c r="E7" s="47"/>
      <c r="F7" s="47"/>
      <c r="G7" s="47"/>
      <c r="H7" s="47"/>
      <c r="I7" s="47"/>
    </row>
    <row r="8" spans="1:9" s="84" customFormat="1" ht="12.95">
      <c r="A8" s="9" t="s">
        <v>9</v>
      </c>
      <c r="B8" s="9"/>
      <c r="C8" s="47" t="s">
        <v>10</v>
      </c>
      <c r="D8" s="47"/>
      <c r="E8" s="47"/>
      <c r="F8" s="47"/>
      <c r="G8" s="47"/>
      <c r="H8" s="47"/>
      <c r="I8" s="47"/>
    </row>
    <row r="9" spans="1:9" s="84" customFormat="1" ht="12.95">
      <c r="A9" s="9" t="s">
        <v>11</v>
      </c>
      <c r="B9" s="9"/>
      <c r="C9" s="47" t="s">
        <v>12</v>
      </c>
      <c r="D9" s="47"/>
      <c r="E9" s="47"/>
      <c r="F9" s="47"/>
      <c r="G9" s="47"/>
      <c r="H9" s="47"/>
      <c r="I9" s="47"/>
    </row>
    <row r="10" spans="1:9" s="84" customFormat="1" ht="12.95">
      <c r="A10" s="9" t="s">
        <v>13</v>
      </c>
      <c r="B10" s="9"/>
      <c r="C10" s="47"/>
      <c r="D10" s="47"/>
      <c r="E10" s="47"/>
      <c r="F10" s="47"/>
      <c r="G10" s="47"/>
      <c r="H10" s="47"/>
      <c r="I10" s="47"/>
    </row>
    <row r="11" spans="1:9" s="84" customFormat="1" ht="12.95">
      <c r="A11" s="9" t="s">
        <v>14</v>
      </c>
      <c r="B11" s="9"/>
      <c r="C11" s="416">
        <v>50011653</v>
      </c>
      <c r="D11" s="47"/>
      <c r="E11" s="47"/>
      <c r="F11" s="47"/>
      <c r="G11" s="47"/>
      <c r="H11" s="47"/>
      <c r="I11" s="47"/>
    </row>
    <row r="12" spans="1:9" s="84" customFormat="1" ht="12.95">
      <c r="A12" s="9"/>
      <c r="B12" s="9"/>
      <c r="C12" s="47"/>
      <c r="D12" s="47"/>
      <c r="E12" s="47"/>
      <c r="F12" s="47"/>
      <c r="G12" s="47"/>
      <c r="H12" s="47"/>
      <c r="I12" s="47"/>
    </row>
    <row r="13" spans="1:9" s="5" customFormat="1" ht="12.95">
      <c r="A13" s="9" t="s">
        <v>15</v>
      </c>
      <c r="B13" s="9"/>
      <c r="C13" s="47" t="s">
        <v>16</v>
      </c>
      <c r="D13" s="9"/>
      <c r="E13" s="47"/>
      <c r="F13" s="47"/>
      <c r="G13" s="47"/>
      <c r="H13" s="47"/>
      <c r="I13" s="47"/>
    </row>
    <row r="14" spans="1:9" s="5" customFormat="1" ht="12.95">
      <c r="A14" s="9" t="s">
        <v>17</v>
      </c>
      <c r="B14" s="9"/>
      <c r="C14" s="47" t="s">
        <v>18</v>
      </c>
      <c r="D14" s="9"/>
      <c r="E14" s="47"/>
      <c r="F14" s="47"/>
      <c r="G14" s="47"/>
      <c r="H14" s="47"/>
      <c r="I14" s="47"/>
    </row>
    <row r="15" spans="1:9" s="5" customFormat="1" ht="12.95">
      <c r="A15" s="9" t="s">
        <v>19</v>
      </c>
      <c r="B15" s="9"/>
      <c r="C15" s="416" t="s">
        <v>20</v>
      </c>
      <c r="D15" s="47"/>
      <c r="E15" s="47"/>
      <c r="F15" s="47"/>
      <c r="G15" s="47"/>
      <c r="H15" s="47"/>
      <c r="I15" s="47"/>
    </row>
    <row r="16" spans="1:9" s="84" customFormat="1" ht="12.95">
      <c r="A16" s="9"/>
      <c r="B16" s="47"/>
      <c r="C16" s="47"/>
      <c r="D16" s="47"/>
      <c r="E16" s="47"/>
      <c r="F16" s="9"/>
      <c r="G16" s="47"/>
      <c r="H16" s="47"/>
      <c r="I16" s="47"/>
    </row>
    <row r="17" spans="1:15" s="84" customFormat="1" ht="12.95">
      <c r="A17" s="9" t="s">
        <v>21</v>
      </c>
      <c r="B17" s="47"/>
      <c r="C17" s="47" t="s">
        <v>22</v>
      </c>
      <c r="D17" s="47"/>
      <c r="E17" s="47"/>
      <c r="F17" s="9"/>
      <c r="G17" s="47"/>
      <c r="H17" s="47"/>
      <c r="I17" s="47"/>
    </row>
    <row r="18" spans="1:15" ht="12.75" customHeight="1">
      <c r="A18" s="9"/>
      <c r="B18" s="47"/>
      <c r="C18" s="9"/>
      <c r="D18" s="9"/>
      <c r="E18" s="9"/>
      <c r="F18" s="47"/>
      <c r="G18" s="47"/>
      <c r="H18" s="47"/>
      <c r="I18" s="47"/>
      <c r="J18" s="47"/>
      <c r="K18" s="47"/>
      <c r="L18" s="47"/>
      <c r="M18" s="47"/>
      <c r="N18" s="47"/>
      <c r="O18" s="47"/>
    </row>
    <row r="19" spans="1:15" ht="12.75" customHeight="1">
      <c r="A19" s="9" t="s">
        <v>23</v>
      </c>
      <c r="B19" s="47"/>
      <c r="C19" s="9"/>
      <c r="D19" s="9"/>
      <c r="E19" s="9"/>
      <c r="F19" s="47"/>
      <c r="G19" s="47"/>
      <c r="H19" s="47"/>
      <c r="I19" s="47"/>
      <c r="J19" s="47"/>
      <c r="K19" s="47"/>
      <c r="L19" s="47"/>
      <c r="M19" s="47"/>
      <c r="N19" s="47"/>
      <c r="O19" s="47"/>
    </row>
    <row r="20" spans="1:15" s="8" customFormat="1" ht="12.75" customHeight="1">
      <c r="A20" s="47"/>
      <c r="B20" s="429" t="s">
        <v>24</v>
      </c>
      <c r="C20" s="430"/>
      <c r="D20" s="429" t="s">
        <v>25</v>
      </c>
      <c r="E20" s="450"/>
      <c r="F20" s="430"/>
      <c r="G20" s="429" t="s">
        <v>26</v>
      </c>
      <c r="H20" s="450"/>
      <c r="I20" s="430"/>
      <c r="J20" s="451" t="s">
        <v>124</v>
      </c>
      <c r="K20" s="420"/>
      <c r="L20" s="452" t="s">
        <v>125</v>
      </c>
      <c r="M20" s="452"/>
      <c r="N20" s="453"/>
      <c r="O20" s="47"/>
    </row>
    <row r="21" spans="1:15">
      <c r="A21" s="47"/>
      <c r="B21" s="433"/>
      <c r="C21" s="434"/>
      <c r="D21" s="433"/>
      <c r="E21" s="454"/>
      <c r="F21" s="434"/>
      <c r="G21" s="433"/>
      <c r="H21" s="454"/>
      <c r="I21" s="434"/>
      <c r="J21" s="455"/>
      <c r="K21" s="421" t="s">
        <v>126</v>
      </c>
      <c r="L21" s="453" t="s">
        <v>127</v>
      </c>
      <c r="M21" s="453" t="s">
        <v>128</v>
      </c>
      <c r="N21" s="421" t="s">
        <v>129</v>
      </c>
      <c r="O21" s="47"/>
    </row>
    <row r="22" spans="1:15" ht="24.95" customHeight="1">
      <c r="A22" s="47"/>
      <c r="B22" s="429" t="s">
        <v>30</v>
      </c>
      <c r="C22" s="430"/>
      <c r="D22" s="456" t="s">
        <v>130</v>
      </c>
      <c r="E22" s="457"/>
      <c r="F22" s="458"/>
      <c r="G22" s="422" t="s">
        <v>32</v>
      </c>
      <c r="H22" s="459"/>
      <c r="I22" s="423"/>
      <c r="J22" s="460">
        <v>1</v>
      </c>
      <c r="K22" s="460"/>
      <c r="L22" s="460"/>
      <c r="M22" s="460"/>
      <c r="N22" s="460">
        <v>1</v>
      </c>
      <c r="O22" s="47"/>
    </row>
    <row r="23" spans="1:15" ht="40.5" customHeight="1">
      <c r="A23" s="47"/>
      <c r="B23" s="422"/>
      <c r="C23" s="423"/>
      <c r="D23" s="461" t="s">
        <v>131</v>
      </c>
      <c r="E23" s="462"/>
      <c r="F23" s="463"/>
      <c r="G23" s="422" t="s">
        <v>32</v>
      </c>
      <c r="H23" s="459"/>
      <c r="I23" s="423"/>
      <c r="J23" s="424">
        <v>4</v>
      </c>
      <c r="K23" s="424">
        <v>1</v>
      </c>
      <c r="L23" s="424"/>
      <c r="M23" s="424"/>
      <c r="N23" s="424"/>
      <c r="O23" s="47"/>
    </row>
    <row r="24" spans="1:15" ht="12.75" customHeight="1">
      <c r="A24" s="47"/>
      <c r="B24" s="312" t="s">
        <v>36</v>
      </c>
      <c r="C24" s="426"/>
      <c r="D24" s="426"/>
      <c r="E24" s="426"/>
      <c r="F24" s="426"/>
      <c r="G24" s="426"/>
      <c r="H24" s="426"/>
      <c r="I24" s="426"/>
      <c r="J24" s="426"/>
      <c r="K24" s="426"/>
      <c r="L24" s="426"/>
      <c r="M24" s="426"/>
      <c r="N24" s="426"/>
      <c r="O24" s="47"/>
    </row>
    <row r="25" spans="1:15" s="8" customFormat="1" ht="12.75" customHeight="1">
      <c r="A25" s="9"/>
      <c r="B25" s="47"/>
      <c r="C25" s="428"/>
      <c r="D25" s="428"/>
      <c r="E25" s="428"/>
      <c r="F25" s="47"/>
      <c r="G25" s="47"/>
      <c r="H25" s="47"/>
      <c r="I25" s="47"/>
      <c r="J25" s="47"/>
      <c r="K25" s="47"/>
      <c r="L25" s="47"/>
      <c r="M25" s="47"/>
      <c r="N25" s="47"/>
      <c r="O25" s="47"/>
    </row>
    <row r="26" spans="1:15" s="8" customFormat="1" ht="12.75" customHeight="1">
      <c r="A26" s="9" t="s">
        <v>37</v>
      </c>
      <c r="B26" s="429" t="s">
        <v>24</v>
      </c>
      <c r="C26" s="430"/>
      <c r="D26" s="451" t="s">
        <v>124</v>
      </c>
      <c r="E26" s="418" t="s">
        <v>126</v>
      </c>
      <c r="F26" s="452"/>
      <c r="G26" s="419"/>
      <c r="H26" s="418" t="s">
        <v>127</v>
      </c>
      <c r="I26" s="419"/>
      <c r="J26" s="418" t="s">
        <v>128</v>
      </c>
      <c r="K26" s="419"/>
      <c r="L26" s="418" t="s">
        <v>129</v>
      </c>
      <c r="M26" s="419"/>
      <c r="N26" s="429" t="s">
        <v>67</v>
      </c>
      <c r="O26" s="430"/>
    </row>
    <row r="27" spans="1:15" ht="12.75" customHeight="1">
      <c r="A27" s="47"/>
      <c r="B27" s="433"/>
      <c r="C27" s="434"/>
      <c r="D27" s="455"/>
      <c r="E27" s="421" t="s">
        <v>132</v>
      </c>
      <c r="F27" s="418" t="s">
        <v>67</v>
      </c>
      <c r="G27" s="419"/>
      <c r="H27" s="421" t="s">
        <v>132</v>
      </c>
      <c r="I27" s="453" t="s">
        <v>67</v>
      </c>
      <c r="J27" s="421" t="s">
        <v>132</v>
      </c>
      <c r="K27" s="453" t="s">
        <v>67</v>
      </c>
      <c r="L27" s="421" t="s">
        <v>132</v>
      </c>
      <c r="M27" s="453" t="s">
        <v>67</v>
      </c>
      <c r="N27" s="433"/>
      <c r="O27" s="434"/>
    </row>
    <row r="28" spans="1:15" ht="12.75" customHeight="1">
      <c r="A28" s="47"/>
      <c r="B28" s="429" t="s">
        <v>30</v>
      </c>
      <c r="C28" s="430"/>
      <c r="D28" s="464">
        <v>1</v>
      </c>
      <c r="E28" s="465">
        <v>360</v>
      </c>
      <c r="F28" s="466">
        <f>K22*E28</f>
        <v>0</v>
      </c>
      <c r="G28" s="467"/>
      <c r="H28" s="468">
        <v>900</v>
      </c>
      <c r="I28" s="465">
        <f>L22*H28</f>
        <v>0</v>
      </c>
      <c r="J28" s="468">
        <v>900</v>
      </c>
      <c r="K28" s="465">
        <f>M22*J28</f>
        <v>0</v>
      </c>
      <c r="L28" s="468">
        <v>1260</v>
      </c>
      <c r="M28" s="249">
        <f>N22*L28</f>
        <v>1260</v>
      </c>
      <c r="N28" s="334">
        <f>F28+I28+K28+M28</f>
        <v>1260</v>
      </c>
      <c r="O28" s="335"/>
    </row>
    <row r="29" spans="1:15" ht="12.75" customHeight="1">
      <c r="A29" s="47"/>
      <c r="B29" s="433"/>
      <c r="C29" s="434"/>
      <c r="D29" s="469">
        <v>4</v>
      </c>
      <c r="E29" s="470">
        <v>172</v>
      </c>
      <c r="F29" s="471">
        <f>K23*E29</f>
        <v>172</v>
      </c>
      <c r="G29" s="472"/>
      <c r="H29" s="473">
        <v>430</v>
      </c>
      <c r="I29" s="474">
        <f>L23*H29</f>
        <v>0</v>
      </c>
      <c r="J29" s="473">
        <v>430</v>
      </c>
      <c r="K29" s="474">
        <f>M23*J29</f>
        <v>0</v>
      </c>
      <c r="L29" s="473">
        <v>602</v>
      </c>
      <c r="M29" s="250">
        <f>N23*L29</f>
        <v>0</v>
      </c>
      <c r="N29" s="332">
        <f>F29+I29+K29+M29</f>
        <v>172</v>
      </c>
      <c r="O29" s="333"/>
    </row>
    <row r="30" spans="1:15" ht="12.75" customHeight="1">
      <c r="A30" s="47"/>
      <c r="B30" s="47"/>
      <c r="C30" s="47"/>
      <c r="D30" s="47"/>
      <c r="E30" s="428"/>
      <c r="F30" s="428"/>
      <c r="G30" s="428"/>
      <c r="H30" s="428"/>
      <c r="I30" s="428"/>
      <c r="J30" s="428"/>
      <c r="K30" s="428"/>
      <c r="L30" s="428"/>
      <c r="M30" s="47"/>
      <c r="N30" s="47"/>
      <c r="O30" s="47"/>
    </row>
    <row r="31" spans="1:15" s="8" customFormat="1" ht="12.75" customHeight="1">
      <c r="A31" s="9" t="s">
        <v>133</v>
      </c>
      <c r="B31" s="47"/>
      <c r="C31" s="235">
        <f>SUM(N28:O29)</f>
        <v>1432</v>
      </c>
      <c r="D31" s="47"/>
      <c r="E31" s="47"/>
      <c r="F31" s="47"/>
      <c r="G31" s="47"/>
      <c r="H31" s="47"/>
      <c r="I31" s="47"/>
      <c r="J31" s="47"/>
      <c r="K31" s="47"/>
      <c r="L31" s="47"/>
      <c r="M31" s="47"/>
      <c r="N31" s="47"/>
      <c r="O31" s="47"/>
    </row>
    <row r="32" spans="1:15" ht="12.75" customHeight="1">
      <c r="A32" s="47"/>
      <c r="B32" s="47"/>
      <c r="C32" s="47"/>
      <c r="D32" s="47"/>
      <c r="E32" s="9"/>
      <c r="F32" s="428"/>
      <c r="G32" s="428"/>
      <c r="H32" s="428"/>
      <c r="I32" s="428"/>
      <c r="J32" s="47"/>
      <c r="K32" s="47"/>
      <c r="L32" s="47"/>
      <c r="M32" s="47"/>
      <c r="N32" s="47"/>
      <c r="O32" s="47"/>
    </row>
    <row r="33" spans="1:11" s="42" customFormat="1" ht="12.75" customHeight="1">
      <c r="A33" s="9" t="s">
        <v>134</v>
      </c>
      <c r="B33" s="9" t="s">
        <v>135</v>
      </c>
      <c r="C33" s="47"/>
      <c r="D33" s="47"/>
      <c r="E33" s="47"/>
      <c r="F33" s="47"/>
      <c r="G33" s="47"/>
      <c r="H33" s="47"/>
      <c r="I33" s="47"/>
      <c r="J33" s="475"/>
      <c r="K33" s="475"/>
    </row>
    <row r="34" spans="1:11" s="42" customFormat="1" ht="12.75" customHeight="1">
      <c r="A34" s="40" t="s">
        <v>136</v>
      </c>
      <c r="B34" s="476"/>
      <c r="C34" s="17"/>
      <c r="D34" s="17"/>
      <c r="E34" s="17"/>
      <c r="F34" s="17"/>
      <c r="G34" s="24"/>
      <c r="H34" s="69" t="s">
        <v>137</v>
      </c>
      <c r="I34" s="69" t="s">
        <v>138</v>
      </c>
      <c r="J34" s="51"/>
      <c r="K34" s="51"/>
    </row>
    <row r="35" spans="1:11" s="42" customFormat="1" ht="12.75" customHeight="1">
      <c r="A35" s="21"/>
      <c r="B35" s="477"/>
      <c r="C35" s="22"/>
      <c r="D35" s="22"/>
      <c r="E35" s="22"/>
      <c r="F35" s="22"/>
      <c r="G35" s="164"/>
      <c r="H35" s="70"/>
      <c r="I35" s="70"/>
      <c r="J35" s="47"/>
      <c r="K35" s="47"/>
    </row>
    <row r="36" spans="1:11" s="42" customFormat="1" ht="12.95">
      <c r="A36" s="246" t="s">
        <v>139</v>
      </c>
      <c r="B36" s="47"/>
      <c r="C36" s="9"/>
      <c r="D36" s="9"/>
      <c r="E36" s="9"/>
      <c r="F36" s="9"/>
      <c r="G36" s="27"/>
      <c r="H36" s="340" t="s">
        <v>140</v>
      </c>
      <c r="I36" s="341"/>
      <c r="J36" s="478"/>
      <c r="K36" s="478"/>
    </row>
    <row r="37" spans="1:11" s="42" customFormat="1" ht="30" customHeight="1">
      <c r="A37" s="479" t="s">
        <v>141</v>
      </c>
      <c r="B37" s="480"/>
      <c r="C37" s="480"/>
      <c r="D37" s="480"/>
      <c r="E37" s="480"/>
      <c r="F37" s="480"/>
      <c r="G37" s="481"/>
      <c r="H37" s="482" t="s">
        <v>142</v>
      </c>
      <c r="I37" s="483"/>
      <c r="J37" s="10"/>
      <c r="K37" s="10"/>
    </row>
    <row r="38" spans="1:11" s="42" customFormat="1" ht="12.95">
      <c r="A38" s="14"/>
      <c r="B38" s="477"/>
      <c r="C38" s="15"/>
      <c r="D38" s="15"/>
      <c r="E38" s="15"/>
      <c r="F38" s="15"/>
      <c r="G38" s="247"/>
      <c r="H38" s="144"/>
      <c r="I38" s="144"/>
      <c r="J38" s="10"/>
      <c r="K38" s="10"/>
    </row>
    <row r="39" spans="1:11" s="42" customFormat="1" ht="12.75" customHeight="1">
      <c r="A39" s="20">
        <v>1</v>
      </c>
      <c r="B39" s="9" t="s">
        <v>143</v>
      </c>
      <c r="C39" s="475"/>
      <c r="D39" s="9"/>
      <c r="E39" s="9"/>
      <c r="F39" s="9"/>
      <c r="G39" s="27"/>
      <c r="H39" s="484" t="s">
        <v>144</v>
      </c>
      <c r="I39" s="485" t="s">
        <v>145</v>
      </c>
      <c r="J39" s="478"/>
      <c r="K39" s="478"/>
    </row>
    <row r="40" spans="1:11" s="42" customFormat="1" ht="12.75" customHeight="1">
      <c r="A40" s="37"/>
      <c r="B40" s="28" t="s">
        <v>146</v>
      </c>
      <c r="C40" s="486"/>
      <c r="D40" s="28"/>
      <c r="E40" s="28"/>
      <c r="F40" s="28"/>
      <c r="G40" s="248"/>
      <c r="H40" s="338" t="s">
        <v>147</v>
      </c>
      <c r="I40" s="339"/>
      <c r="J40" s="10"/>
      <c r="K40" s="10"/>
    </row>
    <row r="41" spans="1:11" s="42" customFormat="1" ht="12.75" customHeight="1">
      <c r="A41" s="487"/>
      <c r="B41" s="477"/>
      <c r="C41" s="488"/>
      <c r="D41" s="477"/>
      <c r="E41" s="477"/>
      <c r="F41" s="477"/>
      <c r="G41" s="477"/>
      <c r="H41" s="489"/>
      <c r="I41" s="490"/>
      <c r="J41" s="475"/>
      <c r="K41" s="475"/>
    </row>
    <row r="42" spans="1:11" s="42" customFormat="1" ht="12.75" customHeight="1">
      <c r="A42" s="20">
        <v>2</v>
      </c>
      <c r="B42" s="9" t="s">
        <v>148</v>
      </c>
      <c r="C42" s="475"/>
      <c r="D42" s="9"/>
      <c r="E42" s="9"/>
      <c r="F42" s="9"/>
      <c r="G42" s="9"/>
      <c r="H42" s="484">
        <v>15000</v>
      </c>
      <c r="I42" s="485">
        <v>15000</v>
      </c>
      <c r="J42" s="47"/>
      <c r="K42" s="47"/>
    </row>
    <row r="43" spans="1:11" s="7" customFormat="1" ht="12.75" customHeight="1">
      <c r="A43" s="20"/>
      <c r="B43" s="25" t="s">
        <v>146</v>
      </c>
      <c r="C43" s="475"/>
      <c r="D43" s="25"/>
      <c r="E43" s="25"/>
      <c r="F43" s="25"/>
      <c r="G43" s="25"/>
      <c r="H43" s="338" t="s">
        <v>76</v>
      </c>
      <c r="I43" s="339"/>
      <c r="J43" s="47"/>
      <c r="K43" s="47"/>
    </row>
    <row r="44" spans="1:11" s="42" customFormat="1" ht="12.75" customHeight="1">
      <c r="A44" s="487"/>
      <c r="B44" s="477"/>
      <c r="C44" s="488"/>
      <c r="D44" s="477"/>
      <c r="E44" s="477"/>
      <c r="F44" s="477"/>
      <c r="G44" s="477"/>
      <c r="H44" s="489"/>
      <c r="I44" s="490"/>
      <c r="J44" s="47"/>
      <c r="K44" s="47"/>
    </row>
    <row r="45" spans="1:11" s="42" customFormat="1" ht="12.75" customHeight="1">
      <c r="A45" s="20">
        <v>3</v>
      </c>
      <c r="B45" s="9" t="s">
        <v>149</v>
      </c>
      <c r="C45" s="475"/>
      <c r="D45" s="9"/>
      <c r="E45" s="9"/>
      <c r="F45" s="9"/>
      <c r="G45" s="9"/>
      <c r="H45" s="484">
        <v>25000</v>
      </c>
      <c r="I45" s="485">
        <v>15000</v>
      </c>
      <c r="J45" s="491"/>
      <c r="K45" s="491"/>
    </row>
    <row r="46" spans="1:11" s="42" customFormat="1" ht="12.75" customHeight="1">
      <c r="A46" s="492"/>
      <c r="B46" s="47" t="s">
        <v>150</v>
      </c>
      <c r="C46" s="475"/>
      <c r="D46" s="47"/>
      <c r="E46" s="47"/>
      <c r="F46" s="47"/>
      <c r="G46" s="47"/>
      <c r="H46" s="484"/>
      <c r="I46" s="485"/>
      <c r="J46" s="76"/>
      <c r="K46" s="491"/>
    </row>
    <row r="47" spans="1:11" s="42" customFormat="1" ht="12.75" customHeight="1">
      <c r="A47" s="493" t="s">
        <v>151</v>
      </c>
      <c r="B47" s="47" t="s">
        <v>152</v>
      </c>
      <c r="C47" s="475"/>
      <c r="D47" s="47"/>
      <c r="E47" s="47"/>
      <c r="F47" s="47"/>
      <c r="G47" s="47"/>
      <c r="H47" s="484"/>
      <c r="I47" s="485"/>
      <c r="J47" s="491"/>
      <c r="K47" s="491"/>
    </row>
    <row r="48" spans="1:11" s="42" customFormat="1" ht="12.75" customHeight="1">
      <c r="A48" s="493"/>
      <c r="B48" s="47"/>
      <c r="C48" s="475"/>
      <c r="D48" s="47"/>
      <c r="E48" s="47"/>
      <c r="F48" s="47"/>
      <c r="G48" s="47"/>
      <c r="H48" s="342" t="s">
        <v>153</v>
      </c>
      <c r="I48" s="343"/>
      <c r="J48" s="76"/>
      <c r="K48" s="76"/>
    </row>
    <row r="49" spans="1:11" s="42" customFormat="1" ht="12.75" customHeight="1">
      <c r="A49" s="493" t="s">
        <v>154</v>
      </c>
      <c r="B49" s="47" t="s">
        <v>155</v>
      </c>
      <c r="C49" s="475"/>
      <c r="D49" s="47"/>
      <c r="E49" s="47"/>
      <c r="F49" s="47"/>
      <c r="G49" s="47"/>
      <c r="H49" s="484"/>
      <c r="I49" s="485"/>
      <c r="J49" s="76"/>
      <c r="K49" s="76"/>
    </row>
    <row r="50" spans="1:11" s="42" customFormat="1" ht="42.95" customHeight="1">
      <c r="A50" s="493"/>
      <c r="B50" s="25" t="s">
        <v>156</v>
      </c>
      <c r="C50" s="475"/>
      <c r="D50" s="25"/>
      <c r="E50" s="25"/>
      <c r="F50" s="25"/>
      <c r="G50" s="25"/>
      <c r="H50" s="344" t="s">
        <v>157</v>
      </c>
      <c r="I50" s="345"/>
      <c r="J50" s="491"/>
      <c r="K50" s="491"/>
    </row>
    <row r="51" spans="1:11" s="42" customFormat="1" ht="12.75" customHeight="1">
      <c r="A51" s="493" t="s">
        <v>158</v>
      </c>
      <c r="B51" s="47" t="s">
        <v>159</v>
      </c>
      <c r="C51" s="475"/>
      <c r="D51" s="47"/>
      <c r="E51" s="47"/>
      <c r="F51" s="47"/>
      <c r="G51" s="47"/>
      <c r="H51" s="484"/>
      <c r="I51" s="485"/>
      <c r="J51" s="491"/>
      <c r="K51" s="491"/>
    </row>
    <row r="52" spans="1:11" s="42" customFormat="1" ht="12.75" customHeight="1">
      <c r="A52" s="494"/>
      <c r="B52" s="28" t="s">
        <v>146</v>
      </c>
      <c r="C52" s="486"/>
      <c r="D52" s="28"/>
      <c r="E52" s="28"/>
      <c r="F52" s="28"/>
      <c r="G52" s="28"/>
      <c r="H52" s="338" t="s">
        <v>147</v>
      </c>
      <c r="I52" s="339"/>
      <c r="J52" s="491"/>
      <c r="K52" s="491"/>
    </row>
    <row r="53" spans="1:11" s="42" customFormat="1" ht="12.75" customHeight="1">
      <c r="A53" s="487"/>
      <c r="B53" s="477"/>
      <c r="C53" s="488"/>
      <c r="D53" s="477"/>
      <c r="E53" s="477"/>
      <c r="F53" s="477"/>
      <c r="G53" s="477"/>
      <c r="H53" s="489"/>
      <c r="I53" s="490"/>
      <c r="J53" s="76"/>
      <c r="K53" s="491"/>
    </row>
    <row r="54" spans="1:11" s="42" customFormat="1" ht="12.75" customHeight="1">
      <c r="A54" s="35">
        <v>4</v>
      </c>
      <c r="B54" s="17" t="s">
        <v>160</v>
      </c>
      <c r="C54" s="495"/>
      <c r="D54" s="17"/>
      <c r="E54" s="17"/>
      <c r="F54" s="17"/>
      <c r="G54" s="17"/>
      <c r="H54" s="496">
        <v>3000</v>
      </c>
      <c r="I54" s="497">
        <v>1500</v>
      </c>
      <c r="J54" s="491"/>
      <c r="K54" s="491"/>
    </row>
    <row r="55" spans="1:11" s="42" customFormat="1" ht="12.75" customHeight="1">
      <c r="A55" s="492"/>
      <c r="B55" s="47" t="s">
        <v>150</v>
      </c>
      <c r="C55" s="475"/>
      <c r="D55" s="47"/>
      <c r="E55" s="47"/>
      <c r="F55" s="47"/>
      <c r="G55" s="47"/>
      <c r="H55" s="484"/>
      <c r="I55" s="485"/>
      <c r="J55" s="76"/>
      <c r="K55" s="76"/>
    </row>
    <row r="56" spans="1:11" s="42" customFormat="1" ht="12.75" customHeight="1">
      <c r="A56" s="493" t="s">
        <v>151</v>
      </c>
      <c r="B56" s="47" t="s">
        <v>161</v>
      </c>
      <c r="C56" s="475"/>
      <c r="D56" s="47"/>
      <c r="E56" s="47"/>
      <c r="F56" s="47"/>
      <c r="G56" s="47"/>
      <c r="H56" s="484"/>
      <c r="I56" s="485"/>
      <c r="J56" s="76"/>
      <c r="K56" s="76"/>
    </row>
    <row r="57" spans="1:11" s="42" customFormat="1" ht="12.75" customHeight="1">
      <c r="A57" s="493" t="s">
        <v>154</v>
      </c>
      <c r="B57" s="47" t="s">
        <v>162</v>
      </c>
      <c r="C57" s="475"/>
      <c r="D57" s="47"/>
      <c r="E57" s="47"/>
      <c r="F57" s="47"/>
      <c r="G57" s="47"/>
      <c r="H57" s="484"/>
      <c r="I57" s="485"/>
      <c r="J57" s="491"/>
      <c r="K57" s="491"/>
    </row>
    <row r="58" spans="1:11" s="42" customFormat="1" ht="12.75" customHeight="1">
      <c r="A58" s="493"/>
      <c r="B58" s="47"/>
      <c r="C58" s="475"/>
      <c r="D58" s="47"/>
      <c r="E58" s="47"/>
      <c r="F58" s="47"/>
      <c r="G58" s="47"/>
      <c r="H58" s="342" t="s">
        <v>163</v>
      </c>
      <c r="I58" s="343"/>
      <c r="J58" s="491"/>
      <c r="K58" s="491"/>
    </row>
    <row r="59" spans="1:11" s="42" customFormat="1" ht="12.75" customHeight="1">
      <c r="A59" s="493" t="s">
        <v>158</v>
      </c>
      <c r="B59" s="498" t="s">
        <v>164</v>
      </c>
      <c r="C59" s="475"/>
      <c r="D59" s="47"/>
      <c r="E59" s="47"/>
      <c r="F59" s="47"/>
      <c r="G59" s="47"/>
      <c r="H59" s="484"/>
      <c r="I59" s="485"/>
      <c r="J59" s="47"/>
      <c r="K59" s="47"/>
    </row>
    <row r="60" spans="1:11" s="42" customFormat="1" ht="12.75" customHeight="1">
      <c r="A60" s="493"/>
      <c r="B60" s="25" t="s">
        <v>165</v>
      </c>
      <c r="C60" s="475"/>
      <c r="D60" s="25"/>
      <c r="E60" s="25"/>
      <c r="F60" s="25"/>
      <c r="G60" s="25"/>
      <c r="H60" s="342" t="s">
        <v>147</v>
      </c>
      <c r="I60" s="343"/>
      <c r="J60" s="50"/>
      <c r="K60" s="50"/>
    </row>
    <row r="61" spans="1:11" s="42" customFormat="1" ht="12.75" customHeight="1">
      <c r="A61" s="493" t="s">
        <v>166</v>
      </c>
      <c r="B61" s="47" t="s">
        <v>167</v>
      </c>
      <c r="C61" s="475"/>
      <c r="D61" s="47"/>
      <c r="E61" s="47"/>
      <c r="F61" s="47"/>
      <c r="G61" s="47"/>
      <c r="H61" s="484"/>
      <c r="I61" s="485"/>
      <c r="J61" s="47"/>
      <c r="K61" s="47"/>
    </row>
    <row r="62" spans="1:11" s="42" customFormat="1" ht="12.75" customHeight="1">
      <c r="A62" s="493"/>
      <c r="B62" s="25" t="s">
        <v>168</v>
      </c>
      <c r="C62" s="475"/>
      <c r="D62" s="25"/>
      <c r="E62" s="25"/>
      <c r="F62" s="25"/>
      <c r="G62" s="25"/>
      <c r="H62" s="338" t="s">
        <v>147</v>
      </c>
      <c r="I62" s="339"/>
      <c r="J62" s="47"/>
      <c r="K62" s="47"/>
    </row>
    <row r="63" spans="1:11" s="42" customFormat="1" ht="12.75" customHeight="1">
      <c r="A63" s="499"/>
      <c r="B63" s="29"/>
      <c r="C63" s="488"/>
      <c r="D63" s="29"/>
      <c r="E63" s="29"/>
      <c r="F63" s="29"/>
      <c r="G63" s="29"/>
      <c r="H63" s="147"/>
      <c r="I63" s="148"/>
      <c r="J63" s="47"/>
      <c r="K63" s="47"/>
    </row>
    <row r="64" spans="1:11" s="42" customFormat="1" ht="12.75" customHeight="1">
      <c r="A64" s="52">
        <v>5</v>
      </c>
      <c r="B64" s="9" t="s">
        <v>169</v>
      </c>
      <c r="C64" s="475"/>
      <c r="D64" s="47"/>
      <c r="E64" s="47"/>
      <c r="F64" s="47"/>
      <c r="G64" s="47"/>
      <c r="H64" s="484">
        <v>3000</v>
      </c>
      <c r="I64" s="497">
        <v>1500</v>
      </c>
      <c r="J64" s="47"/>
      <c r="K64" s="47"/>
    </row>
    <row r="65" spans="1:15" s="42" customFormat="1" ht="12.75" customHeight="1">
      <c r="A65" s="494"/>
      <c r="B65" s="441" t="s">
        <v>170</v>
      </c>
      <c r="C65" s="486"/>
      <c r="D65" s="441"/>
      <c r="E65" s="441"/>
      <c r="F65" s="441"/>
      <c r="G65" s="441"/>
      <c r="H65" s="500"/>
      <c r="I65" s="501"/>
      <c r="J65" s="47"/>
      <c r="K65" s="47"/>
      <c r="L65" s="475"/>
      <c r="M65" s="475"/>
      <c r="N65" s="475"/>
      <c r="O65" s="475"/>
    </row>
    <row r="66" spans="1:15" s="42" customFormat="1" ht="12.75" customHeight="1">
      <c r="A66" s="487"/>
      <c r="B66" s="477"/>
      <c r="C66" s="488"/>
      <c r="D66" s="477"/>
      <c r="E66" s="477"/>
      <c r="F66" s="477"/>
      <c r="G66" s="477"/>
      <c r="H66" s="489"/>
      <c r="I66" s="490"/>
      <c r="J66" s="47"/>
      <c r="K66" s="47"/>
      <c r="L66" s="475"/>
      <c r="M66" s="475"/>
      <c r="N66" s="475"/>
      <c r="O66" s="475"/>
    </row>
    <row r="67" spans="1:15" s="42" customFormat="1" ht="12.95">
      <c r="A67" s="35">
        <v>6</v>
      </c>
      <c r="B67" s="17" t="s">
        <v>171</v>
      </c>
      <c r="C67" s="17"/>
      <c r="D67" s="17"/>
      <c r="E67" s="17"/>
      <c r="F67" s="17"/>
      <c r="G67" s="17"/>
      <c r="H67" s="496">
        <v>25000</v>
      </c>
      <c r="I67" s="497">
        <v>15000</v>
      </c>
      <c r="J67" s="47"/>
      <c r="K67" s="47"/>
      <c r="L67" s="475"/>
      <c r="M67" s="475"/>
      <c r="N67" s="475"/>
      <c r="O67" s="475"/>
    </row>
    <row r="68" spans="1:15" s="42" customFormat="1" ht="13.5" customHeight="1">
      <c r="A68" s="20"/>
      <c r="B68" s="47" t="s">
        <v>172</v>
      </c>
      <c r="C68" s="9"/>
      <c r="D68" s="9"/>
      <c r="E68" s="9"/>
      <c r="F68" s="9"/>
      <c r="G68" s="9"/>
      <c r="H68" s="502" t="s">
        <v>173</v>
      </c>
      <c r="I68" s="503"/>
      <c r="J68" s="47"/>
      <c r="K68" s="47"/>
      <c r="L68" s="475"/>
      <c r="M68" s="475"/>
      <c r="N68" s="475"/>
      <c r="O68" s="475"/>
    </row>
    <row r="69" spans="1:15" s="42" customFormat="1" ht="12.75" customHeight="1">
      <c r="A69" s="493" t="s">
        <v>151</v>
      </c>
      <c r="B69" s="47" t="s">
        <v>174</v>
      </c>
      <c r="C69" s="19"/>
      <c r="D69" s="19"/>
      <c r="E69" s="19"/>
      <c r="F69" s="19"/>
      <c r="G69" s="19"/>
      <c r="H69" s="484"/>
      <c r="I69" s="485"/>
      <c r="J69" s="47"/>
      <c r="K69" s="47"/>
      <c r="L69" s="475"/>
      <c r="M69" s="475"/>
      <c r="N69" s="475"/>
      <c r="O69" s="475"/>
    </row>
    <row r="70" spans="1:15" s="42" customFormat="1" ht="12.75" customHeight="1">
      <c r="A70" s="493" t="s">
        <v>154</v>
      </c>
      <c r="B70" s="47" t="s">
        <v>175</v>
      </c>
      <c r="C70" s="19"/>
      <c r="D70" s="19"/>
      <c r="E70" s="19"/>
      <c r="F70" s="19"/>
      <c r="G70" s="19"/>
      <c r="H70" s="484"/>
      <c r="I70" s="485"/>
      <c r="J70" s="47"/>
      <c r="K70" s="47"/>
      <c r="L70" s="475"/>
      <c r="M70" s="475"/>
      <c r="N70" s="475"/>
      <c r="O70" s="475"/>
    </row>
    <row r="71" spans="1:15" s="42" customFormat="1" ht="12.75" customHeight="1">
      <c r="A71" s="493" t="s">
        <v>158</v>
      </c>
      <c r="B71" s="47" t="s">
        <v>176</v>
      </c>
      <c r="C71" s="19"/>
      <c r="D71" s="19"/>
      <c r="E71" s="19"/>
      <c r="F71" s="19"/>
      <c r="G71" s="19"/>
      <c r="H71" s="484"/>
      <c r="I71" s="485"/>
      <c r="J71" s="47"/>
      <c r="K71" s="47"/>
      <c r="L71" s="475"/>
      <c r="M71" s="475"/>
      <c r="N71" s="475"/>
      <c r="O71" s="475"/>
    </row>
    <row r="72" spans="1:15" s="42" customFormat="1" ht="12.95">
      <c r="A72" s="493"/>
      <c r="B72" s="47"/>
      <c r="C72" s="19"/>
      <c r="D72" s="19"/>
      <c r="E72" s="19"/>
      <c r="F72" s="19"/>
      <c r="G72" s="19"/>
      <c r="H72" s="346" t="s">
        <v>177</v>
      </c>
      <c r="I72" s="347"/>
      <c r="J72" s="47"/>
      <c r="K72" s="47"/>
      <c r="L72" s="475"/>
      <c r="M72" s="475"/>
      <c r="N72" s="475"/>
      <c r="O72" s="475"/>
    </row>
    <row r="73" spans="1:15" s="42" customFormat="1" ht="12.75" customHeight="1">
      <c r="A73" s="493" t="s">
        <v>166</v>
      </c>
      <c r="B73" s="47" t="s">
        <v>178</v>
      </c>
      <c r="C73" s="19"/>
      <c r="D73" s="19"/>
      <c r="E73" s="19"/>
      <c r="F73" s="19"/>
      <c r="G73" s="19"/>
      <c r="H73" s="145"/>
      <c r="I73" s="146"/>
      <c r="J73" s="47"/>
      <c r="K73" s="47"/>
      <c r="L73" s="475"/>
      <c r="M73" s="475"/>
      <c r="N73" s="475"/>
      <c r="O73" s="475"/>
    </row>
    <row r="74" spans="1:15" s="42" customFormat="1" ht="12.95">
      <c r="A74" s="20"/>
      <c r="B74" s="25" t="s">
        <v>179</v>
      </c>
      <c r="C74" s="475"/>
      <c r="D74" s="25"/>
      <c r="E74" s="25"/>
      <c r="F74" s="25"/>
      <c r="G74" s="25"/>
      <c r="H74" s="342" t="s">
        <v>180</v>
      </c>
      <c r="I74" s="343"/>
      <c r="J74" s="47"/>
      <c r="K74" s="47"/>
      <c r="L74" s="475"/>
      <c r="M74" s="475"/>
      <c r="N74" s="475"/>
      <c r="O74" s="475"/>
    </row>
    <row r="75" spans="1:15" s="42" customFormat="1" ht="12.75" customHeight="1">
      <c r="A75" s="37"/>
      <c r="B75" s="31" t="s">
        <v>181</v>
      </c>
      <c r="C75" s="486"/>
      <c r="D75" s="31"/>
      <c r="E75" s="31"/>
      <c r="F75" s="31"/>
      <c r="G75" s="31"/>
      <c r="H75" s="504" t="s">
        <v>182</v>
      </c>
      <c r="I75" s="505"/>
      <c r="J75" s="47"/>
      <c r="K75" s="47"/>
      <c r="L75" s="475"/>
      <c r="M75" s="475"/>
      <c r="N75" s="475"/>
      <c r="O75" s="475"/>
    </row>
    <row r="76" spans="1:15" ht="12.75" customHeight="1">
      <c r="A76" s="487"/>
      <c r="B76" s="477"/>
      <c r="C76" s="488"/>
      <c r="D76" s="477"/>
      <c r="E76" s="477"/>
      <c r="F76" s="477"/>
      <c r="G76" s="477"/>
      <c r="H76" s="489"/>
      <c r="I76" s="490"/>
      <c r="J76" s="47"/>
      <c r="K76" s="47"/>
      <c r="L76" s="47"/>
      <c r="M76" s="47"/>
      <c r="N76" s="47"/>
      <c r="O76" s="46"/>
    </row>
    <row r="77" spans="1:15" s="6" customFormat="1" ht="12.75" customHeight="1">
      <c r="A77" s="35">
        <v>7</v>
      </c>
      <c r="B77" s="17" t="s">
        <v>183</v>
      </c>
      <c r="C77" s="495"/>
      <c r="D77" s="17"/>
      <c r="E77" s="17"/>
      <c r="F77" s="17"/>
      <c r="G77" s="17"/>
      <c r="H77" s="506" t="s">
        <v>184</v>
      </c>
      <c r="I77" s="507"/>
      <c r="J77" s="47"/>
      <c r="K77" s="47"/>
      <c r="L77" s="10"/>
      <c r="M77" s="10"/>
      <c r="N77" s="10"/>
    </row>
    <row r="78" spans="1:15" s="6" customFormat="1" ht="27.75" customHeight="1">
      <c r="A78" s="20"/>
      <c r="B78" s="9"/>
      <c r="C78" s="475"/>
      <c r="D78" s="9"/>
      <c r="E78" s="9"/>
      <c r="F78" s="9"/>
      <c r="G78" s="9"/>
      <c r="H78" s="336" t="s">
        <v>185</v>
      </c>
      <c r="I78" s="337"/>
      <c r="J78" s="47"/>
      <c r="K78" s="47"/>
      <c r="L78" s="10"/>
      <c r="M78" s="10"/>
      <c r="N78" s="10"/>
    </row>
    <row r="79" spans="1:15" s="6" customFormat="1" ht="12.75" customHeight="1">
      <c r="A79" s="39"/>
      <c r="B79" s="22"/>
      <c r="C79" s="488"/>
      <c r="D79" s="22"/>
      <c r="E79" s="22"/>
      <c r="F79" s="22"/>
      <c r="G79" s="22"/>
      <c r="H79" s="489"/>
      <c r="I79" s="490"/>
      <c r="J79" s="47"/>
      <c r="K79" s="47"/>
      <c r="L79" s="10"/>
      <c r="M79" s="10"/>
      <c r="N79" s="10"/>
    </row>
    <row r="80" spans="1:15" s="6" customFormat="1" ht="12.75" customHeight="1">
      <c r="A80" s="39">
        <v>8</v>
      </c>
      <c r="B80" s="22" t="s">
        <v>186</v>
      </c>
      <c r="C80" s="477"/>
      <c r="D80" s="22"/>
      <c r="E80" s="22"/>
      <c r="F80" s="22"/>
      <c r="G80" s="22"/>
      <c r="H80" s="489">
        <v>10000</v>
      </c>
      <c r="I80" s="490">
        <v>10000</v>
      </c>
      <c r="J80" s="47"/>
      <c r="K80" s="47"/>
      <c r="L80" s="10"/>
      <c r="M80" s="10"/>
      <c r="N80" s="10"/>
    </row>
    <row r="81" spans="1:14" s="6" customFormat="1" ht="12.75" customHeight="1">
      <c r="A81" s="39"/>
      <c r="B81" s="22"/>
      <c r="C81" s="477"/>
      <c r="D81" s="22"/>
      <c r="E81" s="22"/>
      <c r="F81" s="22"/>
      <c r="G81" s="22"/>
      <c r="H81" s="489"/>
      <c r="I81" s="490"/>
      <c r="J81" s="47"/>
      <c r="K81" s="47"/>
      <c r="L81" s="10"/>
      <c r="M81" s="10"/>
      <c r="N81" s="10"/>
    </row>
    <row r="82" spans="1:14" s="6" customFormat="1" ht="12.75" customHeight="1">
      <c r="A82" s="39">
        <v>9</v>
      </c>
      <c r="B82" s="22" t="s">
        <v>187</v>
      </c>
      <c r="C82" s="477"/>
      <c r="D82" s="22"/>
      <c r="E82" s="22"/>
      <c r="F82" s="22"/>
      <c r="G82" s="22"/>
      <c r="H82" s="490">
        <v>150</v>
      </c>
      <c r="I82" s="490">
        <v>150</v>
      </c>
      <c r="J82" s="47"/>
      <c r="K82" s="47"/>
      <c r="L82" s="10"/>
      <c r="M82" s="10"/>
      <c r="N82" s="10"/>
    </row>
    <row r="83" spans="1:14" s="6" customFormat="1" ht="12.75" customHeight="1">
      <c r="A83" s="487"/>
      <c r="B83" s="477"/>
      <c r="C83" s="477"/>
      <c r="D83" s="477"/>
      <c r="E83" s="477"/>
      <c r="F83" s="477"/>
      <c r="G83" s="477"/>
      <c r="H83" s="490"/>
      <c r="I83" s="490"/>
      <c r="J83" s="47"/>
      <c r="K83" s="47"/>
      <c r="L83" s="10"/>
      <c r="M83" s="10"/>
      <c r="N83" s="10"/>
    </row>
    <row r="84" spans="1:14" s="6" customFormat="1" ht="39" customHeight="1">
      <c r="A84" s="39">
        <v>10</v>
      </c>
      <c r="B84" s="22" t="s">
        <v>188</v>
      </c>
      <c r="C84" s="22"/>
      <c r="D84" s="22"/>
      <c r="E84" s="22"/>
      <c r="F84" s="22"/>
      <c r="G84" s="22"/>
      <c r="H84" s="508" t="s">
        <v>189</v>
      </c>
      <c r="I84" s="509"/>
      <c r="J84" s="47"/>
      <c r="K84" s="47"/>
      <c r="L84" s="10"/>
      <c r="M84" s="10"/>
      <c r="N84" s="10"/>
    </row>
    <row r="85" spans="1:14" s="6" customFormat="1" ht="12.95">
      <c r="A85" s="35"/>
      <c r="B85" s="17"/>
      <c r="C85" s="17"/>
      <c r="D85" s="17"/>
      <c r="E85" s="17"/>
      <c r="F85" s="17"/>
      <c r="G85" s="17"/>
      <c r="H85" s="497"/>
      <c r="I85" s="497"/>
      <c r="J85" s="47"/>
      <c r="K85" s="47"/>
      <c r="L85" s="10"/>
      <c r="M85" s="10"/>
      <c r="N85" s="10"/>
    </row>
    <row r="86" spans="1:14" s="6" customFormat="1" ht="12.95">
      <c r="A86" s="35">
        <v>11</v>
      </c>
      <c r="B86" s="17" t="s">
        <v>190</v>
      </c>
      <c r="C86" s="17"/>
      <c r="D86" s="17"/>
      <c r="E86" s="17"/>
      <c r="F86" s="17"/>
      <c r="G86" s="24"/>
      <c r="H86" s="510">
        <v>5000</v>
      </c>
      <c r="I86" s="497">
        <v>5000</v>
      </c>
      <c r="J86" s="47"/>
      <c r="K86" s="47"/>
      <c r="L86" s="10"/>
      <c r="M86" s="10"/>
      <c r="N86" s="10"/>
    </row>
    <row r="87" spans="1:14" s="6" customFormat="1" ht="12.95">
      <c r="A87" s="37"/>
      <c r="B87" s="441" t="s">
        <v>191</v>
      </c>
      <c r="C87" s="31"/>
      <c r="D87" s="31"/>
      <c r="E87" s="31"/>
      <c r="F87" s="31"/>
      <c r="G87" s="66"/>
      <c r="H87" s="511"/>
      <c r="I87" s="501"/>
      <c r="J87" s="47"/>
      <c r="K87" s="47"/>
      <c r="L87" s="10"/>
      <c r="M87" s="10"/>
      <c r="N87" s="10"/>
    </row>
    <row r="88" spans="1:14" s="6" customFormat="1" ht="12.75" customHeight="1">
      <c r="A88" s="494"/>
      <c r="B88" s="441"/>
      <c r="C88" s="441"/>
      <c r="D88" s="441"/>
      <c r="E88" s="441"/>
      <c r="F88" s="441"/>
      <c r="G88" s="441"/>
      <c r="H88" s="501"/>
      <c r="I88" s="501"/>
      <c r="J88" s="47"/>
      <c r="K88" s="47"/>
      <c r="L88" s="10"/>
      <c r="M88" s="10"/>
      <c r="N88" s="10"/>
    </row>
    <row r="89" spans="1:14" s="6" customFormat="1" ht="12.75" customHeight="1">
      <c r="A89" s="20">
        <v>12</v>
      </c>
      <c r="B89" s="9" t="s">
        <v>192</v>
      </c>
      <c r="C89" s="47"/>
      <c r="D89" s="47"/>
      <c r="E89" s="47"/>
      <c r="F89" s="47"/>
      <c r="G89" s="47"/>
      <c r="H89" s="497">
        <v>100</v>
      </c>
      <c r="I89" s="485">
        <v>100</v>
      </c>
      <c r="J89" s="47"/>
      <c r="K89" s="47"/>
      <c r="L89" s="10"/>
      <c r="M89" s="10"/>
      <c r="N89" s="10"/>
    </row>
    <row r="90" spans="1:14" s="6" customFormat="1" ht="12.75" customHeight="1">
      <c r="A90" s="487"/>
      <c r="B90" s="477"/>
      <c r="C90" s="477"/>
      <c r="D90" s="477"/>
      <c r="E90" s="477"/>
      <c r="F90" s="477"/>
      <c r="G90" s="477"/>
      <c r="H90" s="490"/>
      <c r="I90" s="490"/>
      <c r="J90" s="47"/>
      <c r="K90" s="47"/>
      <c r="L90" s="10"/>
      <c r="M90" s="10"/>
      <c r="N90" s="10"/>
    </row>
    <row r="91" spans="1:14" s="6" customFormat="1" ht="12.75" customHeight="1">
      <c r="A91" s="20">
        <v>13</v>
      </c>
      <c r="B91" s="9" t="s">
        <v>193</v>
      </c>
      <c r="C91" s="47"/>
      <c r="D91" s="47"/>
      <c r="E91" s="47"/>
      <c r="F91" s="47"/>
      <c r="G91" s="47"/>
      <c r="H91" s="485">
        <v>5000</v>
      </c>
      <c r="I91" s="485">
        <v>5000</v>
      </c>
      <c r="J91" s="47"/>
      <c r="K91" s="47"/>
      <c r="L91" s="10"/>
      <c r="M91" s="10"/>
      <c r="N91" s="10"/>
    </row>
    <row r="92" spans="1:14" s="6" customFormat="1" ht="12.75" customHeight="1">
      <c r="A92" s="492"/>
      <c r="B92" s="47" t="s">
        <v>194</v>
      </c>
      <c r="C92" s="47"/>
      <c r="D92" s="47"/>
      <c r="E92" s="47"/>
      <c r="F92" s="47"/>
      <c r="G92" s="47"/>
      <c r="H92" s="485"/>
      <c r="I92" s="485"/>
      <c r="J92" s="47"/>
      <c r="K92" s="47"/>
      <c r="L92" s="10"/>
      <c r="M92" s="10"/>
      <c r="N92" s="10"/>
    </row>
    <row r="93" spans="1:14" s="6" customFormat="1" ht="12.75" customHeight="1">
      <c r="A93" s="487"/>
      <c r="B93" s="477"/>
      <c r="C93" s="477"/>
      <c r="D93" s="477"/>
      <c r="E93" s="477"/>
      <c r="F93" s="477"/>
      <c r="G93" s="477"/>
      <c r="H93" s="490"/>
      <c r="I93" s="490"/>
      <c r="J93" s="47"/>
      <c r="K93" s="47"/>
      <c r="L93" s="10"/>
      <c r="M93" s="10"/>
      <c r="N93" s="10"/>
    </row>
    <row r="94" spans="1:14" s="6" customFormat="1" ht="12.75" customHeight="1">
      <c r="A94" s="20">
        <v>14</v>
      </c>
      <c r="B94" s="9" t="s">
        <v>195</v>
      </c>
      <c r="C94" s="47"/>
      <c r="D94" s="47"/>
      <c r="E94" s="47"/>
      <c r="F94" s="47"/>
      <c r="G94" s="47"/>
      <c r="H94" s="485">
        <v>5000</v>
      </c>
      <c r="I94" s="485">
        <v>5000</v>
      </c>
      <c r="J94" s="47"/>
      <c r="K94" s="47"/>
      <c r="L94" s="10"/>
      <c r="M94" s="10"/>
      <c r="N94" s="10"/>
    </row>
    <row r="95" spans="1:14" s="6" customFormat="1" ht="12.75" customHeight="1">
      <c r="A95" s="487"/>
      <c r="B95" s="477"/>
      <c r="C95" s="477"/>
      <c r="D95" s="477"/>
      <c r="E95" s="477"/>
      <c r="F95" s="477"/>
      <c r="G95" s="477"/>
      <c r="H95" s="490"/>
      <c r="I95" s="490"/>
      <c r="J95" s="47"/>
      <c r="K95" s="47"/>
      <c r="L95" s="10"/>
      <c r="M95" s="10"/>
      <c r="N95" s="10"/>
    </row>
    <row r="96" spans="1:14" s="6" customFormat="1" ht="12.75" customHeight="1">
      <c r="A96" s="39">
        <v>15</v>
      </c>
      <c r="B96" s="22" t="s">
        <v>196</v>
      </c>
      <c r="C96" s="22"/>
      <c r="D96" s="22"/>
      <c r="E96" s="22"/>
      <c r="F96" s="22"/>
      <c r="G96" s="164"/>
      <c r="H96" s="512" t="s">
        <v>197</v>
      </c>
      <c r="I96" s="490" t="s">
        <v>197</v>
      </c>
      <c r="J96" s="47"/>
      <c r="K96" s="47"/>
      <c r="L96" s="10"/>
      <c r="M96" s="10"/>
      <c r="N96" s="10"/>
    </row>
    <row r="97" spans="1:18" s="6" customFormat="1" ht="12.75" customHeight="1">
      <c r="A97" s="10"/>
      <c r="B97" s="10"/>
      <c r="C97" s="10"/>
      <c r="D97" s="10"/>
      <c r="E97" s="10"/>
      <c r="F97" s="10"/>
      <c r="G97" s="10"/>
      <c r="H97" s="10"/>
      <c r="I97" s="51"/>
      <c r="J97" s="47"/>
      <c r="K97" s="47"/>
      <c r="L97" s="51"/>
      <c r="M97" s="10"/>
      <c r="N97" s="10"/>
      <c r="O97" s="10"/>
    </row>
    <row r="98" spans="1:18" s="5" customFormat="1" ht="12.75" customHeight="1">
      <c r="A98" s="9" t="s">
        <v>60</v>
      </c>
      <c r="B98" s="47"/>
      <c r="C98" s="47"/>
      <c r="D98" s="47"/>
      <c r="E98" s="47"/>
      <c r="F98" s="47"/>
      <c r="G98" s="47"/>
      <c r="H98" s="47"/>
      <c r="I98" s="47"/>
      <c r="J98" s="47"/>
      <c r="K98" s="47"/>
      <c r="L98" s="47"/>
      <c r="M98" s="47"/>
      <c r="N98" s="47"/>
      <c r="O98" s="47"/>
      <c r="P98" s="46"/>
      <c r="Q98" s="46"/>
      <c r="R98" s="46"/>
    </row>
    <row r="99" spans="1:18" s="6" customFormat="1" ht="13.7" customHeight="1">
      <c r="A99" s="47">
        <v>1</v>
      </c>
      <c r="B99" s="478" t="s">
        <v>61</v>
      </c>
      <c r="C99" s="478"/>
      <c r="D99" s="478"/>
      <c r="E99" s="478"/>
      <c r="F99" s="478"/>
      <c r="G99" s="478"/>
      <c r="H99" s="478"/>
      <c r="I99" s="478"/>
      <c r="J99" s="47"/>
      <c r="K99" s="47"/>
      <c r="L99" s="478"/>
      <c r="M99" s="478"/>
      <c r="N99" s="478"/>
      <c r="O99" s="478"/>
    </row>
    <row r="100" spans="1:18" s="6" customFormat="1">
      <c r="A100" s="47">
        <v>2</v>
      </c>
      <c r="B100" s="47" t="s">
        <v>121</v>
      </c>
      <c r="C100" s="10"/>
      <c r="D100" s="10"/>
      <c r="E100" s="10"/>
      <c r="F100" s="10"/>
      <c r="G100" s="10"/>
      <c r="H100" s="10"/>
      <c r="I100" s="10"/>
      <c r="J100" s="47"/>
      <c r="K100" s="47"/>
      <c r="L100" s="10"/>
      <c r="M100" s="10"/>
      <c r="N100" s="10"/>
      <c r="O100" s="10"/>
    </row>
    <row r="101" spans="1:18" s="6" customFormat="1">
      <c r="A101" s="47">
        <v>3</v>
      </c>
      <c r="B101" s="47" t="s">
        <v>122</v>
      </c>
      <c r="C101" s="10"/>
      <c r="D101" s="10"/>
      <c r="E101" s="10"/>
      <c r="F101" s="10"/>
      <c r="G101" s="10"/>
      <c r="H101" s="10"/>
      <c r="I101" s="10"/>
      <c r="J101" s="47"/>
      <c r="K101" s="47"/>
      <c r="L101" s="10"/>
      <c r="M101" s="10"/>
      <c r="N101" s="10"/>
      <c r="O101" s="10"/>
    </row>
    <row r="102" spans="1:18" s="6" customFormat="1" ht="27.6" customHeight="1">
      <c r="A102" s="47">
        <v>4</v>
      </c>
      <c r="B102" s="480" t="s">
        <v>198</v>
      </c>
      <c r="C102" s="480"/>
      <c r="D102" s="480"/>
      <c r="E102" s="480"/>
      <c r="F102" s="480"/>
      <c r="G102" s="480"/>
      <c r="H102" s="480"/>
      <c r="I102" s="480"/>
      <c r="J102" s="480"/>
      <c r="K102" s="47"/>
      <c r="L102" s="478"/>
      <c r="M102" s="478"/>
      <c r="N102" s="478"/>
      <c r="O102" s="478"/>
    </row>
    <row r="103" spans="1:18" s="6" customFormat="1">
      <c r="A103" s="47">
        <v>5</v>
      </c>
      <c r="B103" s="47" t="s">
        <v>199</v>
      </c>
      <c r="C103" s="10"/>
      <c r="D103" s="10"/>
      <c r="E103" s="10"/>
      <c r="F103" s="10"/>
      <c r="G103" s="10"/>
      <c r="H103" s="10"/>
      <c r="I103" s="10"/>
      <c r="J103" s="47"/>
      <c r="K103" s="47"/>
      <c r="L103" s="10"/>
      <c r="M103" s="10"/>
      <c r="N103" s="10"/>
      <c r="O103" s="10"/>
    </row>
    <row r="104" spans="1:18" s="6" customFormat="1" ht="51.6" customHeight="1">
      <c r="A104" s="47">
        <v>6</v>
      </c>
      <c r="B104" s="480" t="s">
        <v>200</v>
      </c>
      <c r="C104" s="480"/>
      <c r="D104" s="480"/>
      <c r="E104" s="480"/>
      <c r="F104" s="480"/>
      <c r="G104" s="480"/>
      <c r="H104" s="480"/>
      <c r="I104" s="480"/>
      <c r="J104" s="480"/>
      <c r="K104" s="47"/>
      <c r="L104" s="475"/>
      <c r="M104" s="475"/>
      <c r="N104" s="475"/>
      <c r="O104" s="475"/>
    </row>
    <row r="105" spans="1:18" s="6" customFormat="1">
      <c r="A105" s="47">
        <v>7</v>
      </c>
      <c r="B105" s="498" t="s">
        <v>201</v>
      </c>
      <c r="C105" s="47"/>
      <c r="D105" s="47"/>
      <c r="E105" s="47"/>
      <c r="F105" s="47"/>
      <c r="G105" s="47"/>
      <c r="H105" s="47"/>
      <c r="I105" s="47"/>
      <c r="J105" s="47"/>
      <c r="K105" s="47"/>
      <c r="L105" s="47"/>
      <c r="M105" s="47"/>
      <c r="N105" s="47"/>
      <c r="O105" s="47"/>
      <c r="P105" s="47"/>
    </row>
    <row r="106" spans="1:18" s="6" customFormat="1" ht="12.95">
      <c r="A106" s="9"/>
      <c r="B106" s="75" t="s">
        <v>202</v>
      </c>
      <c r="C106" s="47"/>
      <c r="D106" s="47"/>
      <c r="E106" s="47"/>
      <c r="F106" s="47"/>
      <c r="G106" s="47"/>
      <c r="H106" s="47"/>
      <c r="I106" s="47"/>
      <c r="J106" s="47"/>
      <c r="K106" s="47"/>
      <c r="L106" s="47"/>
      <c r="M106" s="47"/>
      <c r="N106" s="47"/>
      <c r="O106" s="47"/>
      <c r="P106" s="47"/>
    </row>
    <row r="107" spans="1:18" s="6" customFormat="1" ht="12.95">
      <c r="A107" s="9"/>
      <c r="B107" s="47" t="s">
        <v>203</v>
      </c>
      <c r="C107" s="47"/>
      <c r="D107" s="47"/>
      <c r="E107" s="47"/>
      <c r="F107" s="47"/>
      <c r="G107" s="47"/>
      <c r="H107" s="47"/>
      <c r="I107" s="47"/>
      <c r="J107" s="47"/>
      <c r="K107" s="47"/>
      <c r="L107" s="47"/>
      <c r="M107" s="47"/>
      <c r="N107" s="47"/>
      <c r="O107" s="47"/>
      <c r="P107" s="47"/>
    </row>
    <row r="108" spans="1:18" s="6" customFormat="1" ht="12.95">
      <c r="A108" s="9"/>
      <c r="B108" s="75" t="s">
        <v>204</v>
      </c>
      <c r="C108" s="75" t="s">
        <v>205</v>
      </c>
      <c r="D108" s="47"/>
      <c r="E108" s="47"/>
      <c r="F108" s="47"/>
      <c r="G108" s="47"/>
      <c r="H108" s="47"/>
      <c r="I108" s="47"/>
      <c r="J108" s="47"/>
      <c r="K108" s="47"/>
      <c r="L108" s="491"/>
      <c r="M108" s="491"/>
      <c r="N108" s="491"/>
      <c r="O108" s="491"/>
      <c r="P108" s="491"/>
      <c r="Q108" s="491"/>
      <c r="R108" s="491"/>
    </row>
    <row r="109" spans="1:18" s="6" customFormat="1" ht="12.95">
      <c r="A109" s="9"/>
      <c r="B109" s="47" t="s">
        <v>206</v>
      </c>
      <c r="C109" s="47" t="s">
        <v>207</v>
      </c>
      <c r="D109" s="47"/>
      <c r="E109" s="47"/>
      <c r="F109" s="47"/>
      <c r="G109" s="47"/>
      <c r="H109" s="47"/>
      <c r="I109" s="47"/>
      <c r="J109" s="47"/>
      <c r="K109" s="47"/>
      <c r="L109" s="491"/>
      <c r="M109" s="491"/>
      <c r="N109" s="491"/>
      <c r="O109" s="491"/>
      <c r="P109" s="491"/>
      <c r="Q109" s="491"/>
      <c r="R109" s="491"/>
    </row>
    <row r="110" spans="1:18" s="6" customFormat="1" ht="12.95">
      <c r="A110" s="9"/>
      <c r="B110" s="47" t="s">
        <v>208</v>
      </c>
      <c r="C110" s="47" t="s">
        <v>209</v>
      </c>
      <c r="D110" s="47"/>
      <c r="E110" s="47"/>
      <c r="F110" s="47"/>
      <c r="G110" s="47"/>
      <c r="H110" s="47"/>
      <c r="I110" s="47"/>
      <c r="J110" s="47"/>
      <c r="K110" s="47"/>
      <c r="L110" s="491"/>
      <c r="M110" s="491"/>
      <c r="N110" s="491"/>
      <c r="O110" s="491"/>
      <c r="P110" s="491"/>
      <c r="Q110" s="491"/>
      <c r="R110" s="491"/>
    </row>
    <row r="111" spans="1:18" s="6" customFormat="1" ht="12.95">
      <c r="A111" s="9"/>
      <c r="B111" s="47" t="s">
        <v>210</v>
      </c>
      <c r="C111" s="47" t="s">
        <v>211</v>
      </c>
      <c r="D111" s="47"/>
      <c r="E111" s="47"/>
      <c r="F111" s="47"/>
      <c r="G111" s="47"/>
      <c r="H111" s="47"/>
      <c r="I111" s="47"/>
      <c r="J111" s="47"/>
      <c r="K111" s="47"/>
      <c r="L111" s="491"/>
      <c r="M111" s="491"/>
      <c r="N111" s="491"/>
      <c r="O111" s="491"/>
      <c r="P111" s="491"/>
      <c r="Q111" s="76"/>
      <c r="R111" s="491"/>
    </row>
    <row r="112" spans="1:18" s="6" customFormat="1" ht="12.95">
      <c r="A112" s="9"/>
      <c r="B112" s="75" t="s">
        <v>212</v>
      </c>
      <c r="C112" s="47"/>
      <c r="D112" s="47"/>
      <c r="E112" s="47"/>
      <c r="F112" s="47"/>
      <c r="G112" s="47"/>
      <c r="H112" s="47"/>
      <c r="I112" s="47"/>
      <c r="J112" s="47"/>
      <c r="K112" s="47"/>
      <c r="L112" s="491"/>
      <c r="M112" s="491"/>
      <c r="N112" s="491"/>
      <c r="O112" s="491"/>
      <c r="P112" s="491"/>
      <c r="Q112" s="76"/>
      <c r="R112" s="491"/>
    </row>
    <row r="113" spans="1:18" s="6" customFormat="1" ht="12.95">
      <c r="A113" s="9"/>
      <c r="B113" s="47" t="s">
        <v>203</v>
      </c>
      <c r="C113" s="47"/>
      <c r="D113" s="47"/>
      <c r="E113" s="47"/>
      <c r="F113" s="47"/>
      <c r="G113" s="47"/>
      <c r="H113" s="47"/>
      <c r="I113" s="47"/>
      <c r="J113" s="47"/>
      <c r="K113" s="47"/>
      <c r="L113" s="491"/>
      <c r="M113" s="491"/>
      <c r="N113" s="491"/>
      <c r="O113" s="491"/>
      <c r="P113" s="491"/>
      <c r="Q113" s="491"/>
      <c r="R113" s="491"/>
    </row>
    <row r="114" spans="1:18" s="6" customFormat="1" ht="12.95">
      <c r="A114" s="9"/>
      <c r="B114" s="75" t="s">
        <v>204</v>
      </c>
      <c r="C114" s="75" t="s">
        <v>205</v>
      </c>
      <c r="D114" s="47"/>
      <c r="E114" s="47"/>
      <c r="F114" s="47"/>
      <c r="G114" s="47"/>
      <c r="H114" s="47"/>
      <c r="I114" s="47"/>
      <c r="J114" s="47"/>
      <c r="K114" s="47"/>
      <c r="L114" s="491"/>
      <c r="M114" s="491"/>
      <c r="N114" s="491"/>
      <c r="O114" s="491"/>
      <c r="P114" s="491"/>
      <c r="Q114" s="491"/>
      <c r="R114" s="491"/>
    </row>
    <row r="115" spans="1:18" s="6" customFormat="1" ht="12.95">
      <c r="A115" s="9"/>
      <c r="B115" s="47" t="s">
        <v>206</v>
      </c>
      <c r="C115" s="47" t="s">
        <v>213</v>
      </c>
      <c r="D115" s="47"/>
      <c r="E115" s="47"/>
      <c r="F115" s="47"/>
      <c r="G115" s="47"/>
      <c r="H115" s="47"/>
      <c r="I115" s="47"/>
      <c r="J115" s="47"/>
      <c r="K115" s="47"/>
      <c r="L115" s="491"/>
      <c r="M115" s="491"/>
      <c r="N115" s="491"/>
      <c r="O115" s="491"/>
      <c r="P115" s="491"/>
      <c r="Q115" s="491"/>
      <c r="R115" s="491"/>
    </row>
    <row r="116" spans="1:18" s="6" customFormat="1" ht="12.95">
      <c r="A116" s="9"/>
      <c r="B116" s="47" t="s">
        <v>208</v>
      </c>
      <c r="C116" s="47" t="s">
        <v>214</v>
      </c>
      <c r="D116" s="47"/>
      <c r="E116" s="47"/>
      <c r="F116" s="47"/>
      <c r="G116" s="47"/>
      <c r="H116" s="47"/>
      <c r="I116" s="47"/>
      <c r="J116" s="47"/>
      <c r="K116" s="47"/>
      <c r="L116" s="491"/>
      <c r="M116" s="491"/>
      <c r="N116" s="491"/>
      <c r="O116" s="491"/>
      <c r="P116" s="491"/>
      <c r="Q116" s="491"/>
      <c r="R116" s="491"/>
    </row>
    <row r="117" spans="1:18" ht="12.95">
      <c r="A117" s="9"/>
      <c r="B117" s="47" t="s">
        <v>210</v>
      </c>
      <c r="C117" s="47" t="s">
        <v>209</v>
      </c>
      <c r="D117" s="47"/>
      <c r="E117" s="47"/>
      <c r="F117" s="47"/>
      <c r="G117" s="47"/>
      <c r="H117" s="47"/>
      <c r="I117" s="47"/>
      <c r="J117" s="47"/>
      <c r="K117" s="47"/>
      <c r="L117" s="491"/>
      <c r="M117" s="491"/>
      <c r="N117" s="491"/>
      <c r="O117" s="491"/>
      <c r="P117" s="491"/>
      <c r="Q117" s="491"/>
      <c r="R117" s="491"/>
    </row>
    <row r="118" spans="1:18" ht="12.95">
      <c r="A118" s="9"/>
      <c r="B118" s="75" t="s">
        <v>215</v>
      </c>
      <c r="C118" s="47"/>
      <c r="D118" s="47"/>
      <c r="E118" s="47"/>
      <c r="F118" s="47"/>
      <c r="G118" s="47"/>
      <c r="H118" s="47"/>
      <c r="I118" s="47"/>
      <c r="J118" s="47"/>
      <c r="K118" s="47"/>
      <c r="L118" s="491"/>
      <c r="M118" s="491"/>
      <c r="N118" s="491"/>
      <c r="O118" s="491"/>
      <c r="P118" s="491"/>
      <c r="Q118" s="491"/>
      <c r="R118" s="491"/>
    </row>
    <row r="119" spans="1:18" ht="12.95">
      <c r="A119" s="9"/>
      <c r="B119" s="47" t="s">
        <v>203</v>
      </c>
      <c r="C119" s="47"/>
      <c r="D119" s="47"/>
      <c r="E119" s="47"/>
      <c r="F119" s="47"/>
      <c r="G119" s="47"/>
      <c r="H119" s="47"/>
      <c r="I119" s="47"/>
      <c r="J119" s="47"/>
      <c r="K119" s="47"/>
      <c r="L119" s="491"/>
      <c r="M119" s="491"/>
      <c r="N119" s="491"/>
      <c r="O119" s="491"/>
      <c r="P119" s="491"/>
      <c r="Q119" s="76"/>
      <c r="R119" s="491"/>
    </row>
    <row r="120" spans="1:18" ht="12.95">
      <c r="A120" s="9"/>
      <c r="B120" s="75" t="s">
        <v>204</v>
      </c>
      <c r="C120" s="75" t="s">
        <v>205</v>
      </c>
      <c r="D120" s="47"/>
      <c r="E120" s="47"/>
      <c r="F120" s="47"/>
      <c r="G120" s="47"/>
      <c r="H120" s="47"/>
      <c r="I120" s="47"/>
      <c r="J120" s="47"/>
      <c r="K120" s="47"/>
      <c r="L120" s="491"/>
      <c r="M120" s="491"/>
      <c r="N120" s="491"/>
      <c r="O120" s="491"/>
      <c r="P120" s="491"/>
      <c r="Q120" s="491"/>
      <c r="R120" s="491"/>
    </row>
    <row r="121" spans="1:18" ht="12.95">
      <c r="A121" s="9"/>
      <c r="B121" s="47" t="s">
        <v>208</v>
      </c>
      <c r="C121" s="47" t="s">
        <v>213</v>
      </c>
      <c r="D121" s="47"/>
      <c r="E121" s="47"/>
      <c r="F121" s="47"/>
      <c r="G121" s="47"/>
      <c r="H121" s="47"/>
      <c r="I121" s="47"/>
      <c r="J121" s="47"/>
      <c r="K121" s="47"/>
      <c r="L121" s="491"/>
      <c r="M121" s="491"/>
      <c r="N121" s="491"/>
      <c r="O121" s="491"/>
      <c r="P121" s="491"/>
      <c r="Q121" s="491"/>
      <c r="R121" s="491"/>
    </row>
    <row r="122" spans="1:18">
      <c r="A122" s="47"/>
      <c r="B122" s="47" t="s">
        <v>210</v>
      </c>
      <c r="C122" s="47" t="s">
        <v>207</v>
      </c>
      <c r="D122" s="47"/>
      <c r="E122" s="47"/>
      <c r="F122" s="47"/>
      <c r="G122" s="47"/>
      <c r="H122" s="47"/>
      <c r="I122" s="47"/>
      <c r="J122" s="47"/>
      <c r="K122" s="47"/>
      <c r="L122" s="47"/>
      <c r="M122" s="47"/>
      <c r="N122" s="47"/>
      <c r="O122" s="47"/>
      <c r="P122" s="47"/>
      <c r="Q122" s="46"/>
      <c r="R122" s="46"/>
    </row>
    <row r="123" spans="1:18">
      <c r="A123" s="47"/>
      <c r="B123" s="513"/>
      <c r="C123" s="50"/>
      <c r="D123" s="50"/>
      <c r="E123" s="50"/>
      <c r="F123" s="50"/>
      <c r="G123" s="50"/>
      <c r="H123" s="50"/>
      <c r="I123" s="50"/>
      <c r="J123" s="47"/>
      <c r="K123" s="47"/>
      <c r="L123" s="50"/>
      <c r="M123" s="50"/>
      <c r="N123" s="50"/>
      <c r="O123" s="50"/>
      <c r="P123" s="46"/>
      <c r="Q123" s="46"/>
      <c r="R123" s="46"/>
    </row>
  </sheetData>
  <mergeCells count="44">
    <mergeCell ref="H50:I50"/>
    <mergeCell ref="H48:I48"/>
    <mergeCell ref="H74:I74"/>
    <mergeCell ref="H75:I75"/>
    <mergeCell ref="H72:I72"/>
    <mergeCell ref="H68:I68"/>
    <mergeCell ref="H62:I62"/>
    <mergeCell ref="D22:F22"/>
    <mergeCell ref="D20:F21"/>
    <mergeCell ref="B20:C21"/>
    <mergeCell ref="F29:G29"/>
    <mergeCell ref="F28:G28"/>
    <mergeCell ref="N26:O27"/>
    <mergeCell ref="D26:D27"/>
    <mergeCell ref="B26:C27"/>
    <mergeCell ref="L20:M20"/>
    <mergeCell ref="G22:I22"/>
    <mergeCell ref="G23:I23"/>
    <mergeCell ref="J20:J21"/>
    <mergeCell ref="G20:I21"/>
    <mergeCell ref="H26:I26"/>
    <mergeCell ref="B24:N24"/>
    <mergeCell ref="J26:K26"/>
    <mergeCell ref="L26:M26"/>
    <mergeCell ref="E26:G26"/>
    <mergeCell ref="F27:G27"/>
    <mergeCell ref="B22:C23"/>
    <mergeCell ref="D23:F23"/>
    <mergeCell ref="B104:J104"/>
    <mergeCell ref="N29:O29"/>
    <mergeCell ref="N28:O28"/>
    <mergeCell ref="A37:G37"/>
    <mergeCell ref="H84:I84"/>
    <mergeCell ref="H77:I77"/>
    <mergeCell ref="H78:I78"/>
    <mergeCell ref="B28:C29"/>
    <mergeCell ref="H43:I43"/>
    <mergeCell ref="H40:I40"/>
    <mergeCell ref="H37:I37"/>
    <mergeCell ref="H36:I36"/>
    <mergeCell ref="B102:J102"/>
    <mergeCell ref="H60:I60"/>
    <mergeCell ref="H58:I58"/>
    <mergeCell ref="H52:I52"/>
  </mergeCells>
  <phoneticPr fontId="12" type="noConversion"/>
  <pageMargins left="0.23622047244094491" right="0.23622047244094491" top="0.59055118110236227" bottom="0.59055118110236227" header="0.23622047244094491" footer="0.23622047244094491"/>
  <pageSetup paperSize="9" scale="67" orientation="landscape" r:id="rId1"/>
  <headerFooter alignWithMargins="0">
    <oddHeader>&amp;C&amp;"Arial,Bold"PLACEMENT SLIP
&amp;"Arial,Regular"&amp;8&amp;A&amp;R&amp;G</oddHeader>
    <oddFooter>&amp;LProceed cover
_____________________
Client Sign / Date&amp;C&amp;8This is to effect cover, not a contract. The signed qtn slip (if applic) and the policy form the basis of the contract.&amp;10
&amp;6E &amp;&amp; OE&amp;RConfirmed
_____________________
Insurer Sign / Date</oddFooter>
  </headerFooter>
  <rowBreaks count="2" manualBreakCount="2">
    <brk id="52" max="14" man="1"/>
    <brk id="97" max="14"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7A39E-6363-4B04-A824-9765EF3A7DED}">
  <sheetPr codeName="Sheet4"/>
  <dimension ref="A1:P85"/>
  <sheetViews>
    <sheetView view="pageBreakPreview" zoomScale="85" zoomScaleNormal="70" zoomScaleSheetLayoutView="85" zoomScalePageLayoutView="85" workbookViewId="0"/>
  </sheetViews>
  <sheetFormatPr defaultColWidth="9.140625" defaultRowHeight="12.6"/>
  <cols>
    <col min="1" max="1" width="9.5703125" style="43" customWidth="1"/>
    <col min="2" max="2" width="31.42578125" style="12" customWidth="1"/>
    <col min="3" max="3" width="8.85546875" style="43" customWidth="1"/>
    <col min="4" max="5" width="10.85546875" style="43" customWidth="1"/>
    <col min="6" max="6" width="9.5703125" style="43" customWidth="1"/>
    <col min="7" max="7" width="13" style="43" customWidth="1"/>
    <col min="8" max="8" width="14" style="43" customWidth="1"/>
    <col min="9" max="10" width="13" style="43" customWidth="1"/>
    <col min="11" max="14" width="10.85546875" style="43" customWidth="1"/>
    <col min="15" max="15" width="12.42578125" style="43" customWidth="1"/>
    <col min="16" max="16" width="10.85546875" style="43" customWidth="1"/>
    <col min="17" max="17" width="23.85546875" style="43" customWidth="1"/>
    <col min="18" max="16384" width="9.140625" style="43"/>
  </cols>
  <sheetData>
    <row r="1" spans="1:16" ht="24.95">
      <c r="A1" s="1" t="s">
        <v>216</v>
      </c>
      <c r="B1" s="11"/>
      <c r="C1" s="46"/>
      <c r="D1" s="46"/>
      <c r="E1" s="46"/>
      <c r="F1" s="46"/>
      <c r="G1" s="46"/>
      <c r="H1" s="46"/>
      <c r="I1" s="46"/>
      <c r="J1" s="46"/>
      <c r="K1" s="46"/>
      <c r="L1" s="46"/>
      <c r="M1" s="46"/>
      <c r="N1" s="46"/>
      <c r="O1" s="46"/>
      <c r="P1" s="46"/>
    </row>
    <row r="2" spans="1:16" ht="15" customHeight="1">
      <c r="A2" s="1"/>
      <c r="B2" s="11"/>
      <c r="C2" s="46"/>
      <c r="D2" s="46"/>
      <c r="E2" s="46"/>
      <c r="F2" s="2"/>
      <c r="G2" s="2"/>
      <c r="H2" s="2"/>
      <c r="I2" s="2"/>
      <c r="J2" s="46"/>
      <c r="K2" s="46"/>
      <c r="L2" s="46"/>
      <c r="M2" s="46"/>
      <c r="N2" s="46"/>
      <c r="O2" s="46"/>
      <c r="P2" s="46"/>
    </row>
    <row r="3" spans="1:16" ht="12.95">
      <c r="A3" s="9" t="s">
        <v>1</v>
      </c>
      <c r="B3" s="9"/>
      <c r="C3" s="47"/>
      <c r="D3" s="25"/>
      <c r="E3" s="47"/>
      <c r="F3" s="47"/>
      <c r="G3" s="47"/>
      <c r="H3" s="47"/>
      <c r="I3" s="47"/>
      <c r="J3" s="84"/>
      <c r="K3" s="84"/>
      <c r="L3" s="84"/>
      <c r="M3" s="84"/>
      <c r="N3" s="84"/>
      <c r="O3" s="84"/>
      <c r="P3" s="84"/>
    </row>
    <row r="4" spans="1:16" ht="12.95">
      <c r="A4" s="9" t="s">
        <v>2</v>
      </c>
      <c r="B4" s="9"/>
      <c r="C4" s="47" t="s">
        <v>3</v>
      </c>
      <c r="D4" s="25"/>
      <c r="E4" s="47"/>
      <c r="F4" s="47"/>
      <c r="G4" s="47"/>
      <c r="H4" s="47"/>
      <c r="I4" s="47"/>
      <c r="J4" s="84"/>
      <c r="K4" s="84"/>
      <c r="L4" s="84"/>
      <c r="M4" s="84"/>
      <c r="N4" s="84"/>
      <c r="O4" s="84"/>
      <c r="P4" s="84"/>
    </row>
    <row r="5" spans="1:16" ht="12.95">
      <c r="A5" s="9" t="s">
        <v>4</v>
      </c>
      <c r="B5" s="9"/>
      <c r="C5" s="47" t="s">
        <v>3</v>
      </c>
      <c r="D5" s="25"/>
      <c r="E5" s="47"/>
      <c r="F5" s="47"/>
      <c r="G5" s="47"/>
      <c r="H5" s="47"/>
      <c r="I5" s="47"/>
      <c r="J5" s="84"/>
      <c r="K5" s="84"/>
      <c r="L5" s="84"/>
      <c r="M5" s="84"/>
      <c r="N5" s="84"/>
      <c r="O5" s="84"/>
      <c r="P5" s="84"/>
    </row>
    <row r="6" spans="1:16" ht="12.95">
      <c r="A6" s="9" t="s">
        <v>5</v>
      </c>
      <c r="B6" s="9"/>
      <c r="C6" s="47" t="s">
        <v>6</v>
      </c>
      <c r="D6" s="25"/>
      <c r="E6" s="47"/>
      <c r="F6" s="47"/>
      <c r="G6" s="47"/>
      <c r="H6" s="47"/>
      <c r="I6" s="47"/>
      <c r="J6" s="84"/>
      <c r="K6" s="84"/>
      <c r="L6" s="84"/>
      <c r="M6" s="84"/>
      <c r="N6" s="84"/>
      <c r="O6" s="84"/>
      <c r="P6" s="84"/>
    </row>
    <row r="7" spans="1:16" ht="12.95">
      <c r="A7" s="9" t="s">
        <v>7</v>
      </c>
      <c r="B7" s="9"/>
      <c r="C7" s="47" t="s">
        <v>8</v>
      </c>
      <c r="D7" s="25"/>
      <c r="E7" s="47"/>
      <c r="F7" s="47"/>
      <c r="G7" s="47"/>
      <c r="H7" s="47"/>
      <c r="I7" s="47"/>
      <c r="J7" s="84"/>
      <c r="K7" s="84"/>
      <c r="L7" s="84"/>
      <c r="M7" s="84"/>
      <c r="N7" s="84"/>
      <c r="O7" s="84"/>
      <c r="P7" s="84"/>
    </row>
    <row r="8" spans="1:16" ht="12.95">
      <c r="A8" s="9" t="s">
        <v>9</v>
      </c>
      <c r="B8" s="9"/>
      <c r="C8" s="47" t="s">
        <v>10</v>
      </c>
      <c r="D8" s="47"/>
      <c r="E8" s="47"/>
      <c r="F8" s="47"/>
      <c r="G8" s="47"/>
      <c r="H8" s="47"/>
      <c r="I8" s="47"/>
      <c r="J8" s="84"/>
      <c r="K8" s="84"/>
      <c r="L8" s="84"/>
      <c r="M8" s="84"/>
      <c r="N8" s="84"/>
      <c r="O8" s="84"/>
      <c r="P8" s="84"/>
    </row>
    <row r="9" spans="1:16" ht="12.75" customHeight="1">
      <c r="A9" s="9" t="s">
        <v>11</v>
      </c>
      <c r="B9" s="9"/>
      <c r="C9" s="47" t="s">
        <v>12</v>
      </c>
      <c r="D9" s="47"/>
      <c r="E9" s="47"/>
      <c r="F9" s="47"/>
      <c r="G9" s="47"/>
      <c r="H9" s="47"/>
      <c r="I9" s="47"/>
      <c r="J9" s="84"/>
      <c r="K9" s="84"/>
      <c r="L9" s="84"/>
      <c r="M9" s="84"/>
      <c r="N9" s="84"/>
      <c r="O9" s="84"/>
      <c r="P9" s="84"/>
    </row>
    <row r="10" spans="1:16" ht="12.75" customHeight="1">
      <c r="A10" s="9" t="s">
        <v>13</v>
      </c>
      <c r="B10" s="9"/>
      <c r="C10" s="47"/>
      <c r="D10" s="47"/>
      <c r="E10" s="47"/>
      <c r="F10" s="47"/>
      <c r="G10" s="47"/>
      <c r="H10" s="47"/>
      <c r="I10" s="47"/>
      <c r="J10" s="84"/>
      <c r="K10" s="84"/>
      <c r="L10" s="84"/>
      <c r="M10" s="84"/>
      <c r="N10" s="84"/>
      <c r="O10" s="84"/>
      <c r="P10" s="84"/>
    </row>
    <row r="11" spans="1:16" ht="12.75" customHeight="1">
      <c r="A11" s="9" t="s">
        <v>14</v>
      </c>
      <c r="B11" s="9"/>
      <c r="C11" s="416">
        <v>50011653</v>
      </c>
      <c r="D11" s="47"/>
      <c r="E11" s="47"/>
      <c r="F11" s="47"/>
      <c r="G11" s="47"/>
      <c r="H11" s="47"/>
      <c r="I11" s="47"/>
      <c r="J11" s="84"/>
      <c r="K11" s="84"/>
      <c r="L11" s="84"/>
      <c r="M11" s="84"/>
      <c r="N11" s="84"/>
      <c r="O11" s="84"/>
      <c r="P11" s="84"/>
    </row>
    <row r="12" spans="1:16" ht="12.75" customHeight="1">
      <c r="A12" s="9"/>
      <c r="B12" s="9"/>
      <c r="C12" s="47"/>
      <c r="D12" s="47"/>
      <c r="E12" s="47"/>
      <c r="F12" s="47"/>
      <c r="G12" s="47"/>
      <c r="H12" s="47"/>
      <c r="I12" s="47"/>
      <c r="J12" s="84"/>
      <c r="K12" s="84"/>
      <c r="L12" s="84"/>
      <c r="M12" s="84"/>
      <c r="N12" s="84"/>
      <c r="O12" s="84"/>
      <c r="P12" s="84"/>
    </row>
    <row r="13" spans="1:16" s="5" customFormat="1" ht="12.95">
      <c r="A13" s="9" t="s">
        <v>15</v>
      </c>
      <c r="B13" s="9"/>
      <c r="C13" s="47" t="s">
        <v>16</v>
      </c>
      <c r="D13" s="9"/>
      <c r="E13" s="47"/>
      <c r="F13" s="47"/>
      <c r="G13" s="47"/>
      <c r="H13" s="47"/>
      <c r="I13" s="47"/>
      <c r="J13" s="46"/>
      <c r="K13" s="46"/>
      <c r="L13" s="46"/>
      <c r="M13" s="46"/>
      <c r="N13" s="46"/>
      <c r="O13" s="46"/>
      <c r="P13" s="46"/>
    </row>
    <row r="14" spans="1:16" s="5" customFormat="1" ht="12.95">
      <c r="A14" s="9" t="s">
        <v>17</v>
      </c>
      <c r="B14" s="9"/>
      <c r="C14" s="47" t="s">
        <v>18</v>
      </c>
      <c r="D14" s="9"/>
      <c r="E14" s="47"/>
      <c r="F14" s="47"/>
      <c r="G14" s="47"/>
      <c r="H14" s="47"/>
      <c r="I14" s="47"/>
      <c r="J14" s="46"/>
      <c r="K14" s="46"/>
      <c r="L14" s="46"/>
      <c r="M14" s="46"/>
      <c r="N14" s="46"/>
      <c r="O14" s="46"/>
      <c r="P14" s="46"/>
    </row>
    <row r="15" spans="1:16" s="5" customFormat="1" ht="12.95">
      <c r="A15" s="9" t="s">
        <v>19</v>
      </c>
      <c r="B15" s="9"/>
      <c r="C15" s="416" t="s">
        <v>20</v>
      </c>
      <c r="D15" s="47"/>
      <c r="E15" s="47"/>
      <c r="F15" s="47"/>
      <c r="G15" s="47"/>
      <c r="H15" s="47"/>
      <c r="I15" s="47"/>
      <c r="J15" s="46"/>
      <c r="K15" s="46"/>
      <c r="L15" s="46"/>
      <c r="M15" s="46"/>
      <c r="N15" s="46"/>
      <c r="O15" s="46"/>
      <c r="P15" s="46"/>
    </row>
    <row r="16" spans="1:16" ht="12.95">
      <c r="A16" s="9"/>
      <c r="B16" s="47"/>
      <c r="C16" s="47"/>
      <c r="D16" s="47"/>
      <c r="E16" s="47"/>
      <c r="F16" s="9"/>
      <c r="G16" s="47"/>
      <c r="H16" s="47"/>
      <c r="I16" s="47"/>
      <c r="J16" s="84"/>
      <c r="K16" s="84"/>
      <c r="L16" s="84"/>
      <c r="M16" s="84"/>
      <c r="N16" s="84"/>
      <c r="O16" s="84"/>
      <c r="P16" s="84"/>
    </row>
    <row r="17" spans="1:16" ht="12.95">
      <c r="A17" s="9" t="s">
        <v>21</v>
      </c>
      <c r="B17" s="47"/>
      <c r="C17" s="47" t="s">
        <v>22</v>
      </c>
      <c r="D17" s="47"/>
      <c r="E17" s="47"/>
      <c r="F17" s="9"/>
      <c r="G17" s="47"/>
      <c r="H17" s="47"/>
      <c r="I17" s="47"/>
      <c r="J17" s="84"/>
      <c r="K17" s="84"/>
      <c r="L17" s="84"/>
      <c r="M17" s="84"/>
      <c r="N17" s="84"/>
      <c r="O17" s="84"/>
      <c r="P17" s="84"/>
    </row>
    <row r="18" spans="1:16" ht="12.95">
      <c r="A18" s="3"/>
      <c r="B18" s="514"/>
      <c r="C18" s="3"/>
      <c r="D18" s="3"/>
      <c r="E18" s="3"/>
      <c r="F18" s="46"/>
      <c r="G18" s="46"/>
      <c r="H18" s="46"/>
      <c r="I18" s="46"/>
      <c r="J18" s="46"/>
      <c r="K18" s="46"/>
      <c r="L18" s="46"/>
      <c r="M18" s="46"/>
      <c r="N18" s="46"/>
      <c r="O18" s="46"/>
      <c r="P18" s="46"/>
    </row>
    <row r="19" spans="1:16" ht="12.95">
      <c r="A19" s="3" t="s">
        <v>23</v>
      </c>
      <c r="B19" s="514"/>
      <c r="C19" s="3"/>
      <c r="D19" s="3"/>
      <c r="E19" s="3"/>
      <c r="F19" s="46"/>
      <c r="G19" s="46"/>
      <c r="H19" s="46"/>
      <c r="I19" s="46"/>
      <c r="J19" s="46"/>
      <c r="K19" s="46"/>
      <c r="L19" s="46"/>
      <c r="M19" s="46"/>
      <c r="N19" s="46"/>
      <c r="O19" s="46"/>
      <c r="P19" s="46"/>
    </row>
    <row r="20" spans="1:16" s="8" customFormat="1" ht="13.5" customHeight="1">
      <c r="A20" s="47"/>
      <c r="B20" s="429" t="s">
        <v>24</v>
      </c>
      <c r="C20" s="430"/>
      <c r="D20" s="429" t="s">
        <v>25</v>
      </c>
      <c r="E20" s="450"/>
      <c r="F20" s="430"/>
      <c r="G20" s="429" t="s">
        <v>26</v>
      </c>
      <c r="H20" s="450"/>
      <c r="I20" s="430"/>
      <c r="J20" s="451" t="s">
        <v>124</v>
      </c>
      <c r="K20" s="420"/>
      <c r="L20" s="452" t="s">
        <v>125</v>
      </c>
      <c r="M20" s="452"/>
      <c r="N20" s="453"/>
      <c r="O20" s="47"/>
      <c r="P20" s="47"/>
    </row>
    <row r="21" spans="1:16">
      <c r="A21" s="46"/>
      <c r="B21" s="433"/>
      <c r="C21" s="434"/>
      <c r="D21" s="433"/>
      <c r="E21" s="454"/>
      <c r="F21" s="434"/>
      <c r="G21" s="433"/>
      <c r="H21" s="454"/>
      <c r="I21" s="434"/>
      <c r="J21" s="455"/>
      <c r="K21" s="421" t="s">
        <v>126</v>
      </c>
      <c r="L21" s="453" t="s">
        <v>127</v>
      </c>
      <c r="M21" s="453" t="s">
        <v>128</v>
      </c>
      <c r="N21" s="421" t="s">
        <v>129</v>
      </c>
      <c r="O21" s="46"/>
      <c r="P21" s="46"/>
    </row>
    <row r="22" spans="1:16" ht="29.45" customHeight="1">
      <c r="A22" s="46"/>
      <c r="B22" s="429" t="s">
        <v>30</v>
      </c>
      <c r="C22" s="430"/>
      <c r="D22" s="456" t="s">
        <v>130</v>
      </c>
      <c r="E22" s="457"/>
      <c r="F22" s="458"/>
      <c r="G22" s="422" t="s">
        <v>32</v>
      </c>
      <c r="H22" s="459"/>
      <c r="I22" s="423"/>
      <c r="J22" s="460">
        <v>1</v>
      </c>
      <c r="K22" s="460"/>
      <c r="L22" s="460"/>
      <c r="M22" s="460"/>
      <c r="N22" s="460">
        <v>1</v>
      </c>
      <c r="O22" s="46"/>
      <c r="P22" s="46"/>
    </row>
    <row r="23" spans="1:16" ht="31.5" customHeight="1">
      <c r="A23" s="46"/>
      <c r="B23" s="422"/>
      <c r="C23" s="423"/>
      <c r="D23" s="461" t="s">
        <v>131</v>
      </c>
      <c r="E23" s="462"/>
      <c r="F23" s="462"/>
      <c r="G23" s="433" t="s">
        <v>32</v>
      </c>
      <c r="H23" s="454"/>
      <c r="I23" s="434"/>
      <c r="J23" s="515">
        <v>4</v>
      </c>
      <c r="K23" s="424">
        <v>1</v>
      </c>
      <c r="L23" s="424"/>
      <c r="M23" s="424"/>
      <c r="N23" s="424"/>
      <c r="O23" s="46"/>
      <c r="P23" s="46"/>
    </row>
    <row r="24" spans="1:16">
      <c r="A24" s="46"/>
      <c r="B24" s="312" t="s">
        <v>36</v>
      </c>
      <c r="C24" s="426"/>
      <c r="D24" s="426"/>
      <c r="E24" s="426"/>
      <c r="F24" s="426"/>
      <c r="G24" s="516"/>
      <c r="H24" s="516"/>
      <c r="I24" s="516"/>
      <c r="J24" s="426"/>
      <c r="K24" s="426"/>
      <c r="L24" s="426"/>
      <c r="M24" s="426"/>
      <c r="N24" s="426"/>
      <c r="O24" s="46"/>
      <c r="P24" s="46"/>
    </row>
    <row r="25" spans="1:16" ht="12.95">
      <c r="A25" s="46"/>
      <c r="B25" s="3"/>
      <c r="C25" s="46"/>
      <c r="D25" s="46"/>
      <c r="E25" s="517"/>
      <c r="F25" s="517"/>
      <c r="G25" s="517"/>
      <c r="H25" s="517"/>
      <c r="I25" s="517"/>
      <c r="J25" s="517"/>
      <c r="K25" s="517"/>
      <c r="L25" s="517"/>
      <c r="M25" s="46"/>
      <c r="N25" s="46"/>
      <c r="O25" s="46"/>
      <c r="P25" s="46"/>
    </row>
    <row r="26" spans="1:16" s="8" customFormat="1" ht="13.5" customHeight="1">
      <c r="A26" s="3" t="s">
        <v>37</v>
      </c>
      <c r="B26" s="429" t="s">
        <v>24</v>
      </c>
      <c r="C26" s="430"/>
      <c r="D26" s="451" t="s">
        <v>124</v>
      </c>
      <c r="E26" s="418" t="s">
        <v>126</v>
      </c>
      <c r="F26" s="452"/>
      <c r="G26" s="419"/>
      <c r="H26" s="418" t="s">
        <v>127</v>
      </c>
      <c r="I26" s="419"/>
      <c r="J26" s="418" t="s">
        <v>128</v>
      </c>
      <c r="K26" s="419"/>
      <c r="L26" s="418" t="s">
        <v>129</v>
      </c>
      <c r="M26" s="419"/>
      <c r="N26" s="429" t="s">
        <v>67</v>
      </c>
      <c r="O26" s="430"/>
      <c r="P26" s="47"/>
    </row>
    <row r="27" spans="1:16">
      <c r="A27" s="46"/>
      <c r="B27" s="433"/>
      <c r="C27" s="434"/>
      <c r="D27" s="455"/>
      <c r="E27" s="421" t="s">
        <v>132</v>
      </c>
      <c r="F27" s="418" t="s">
        <v>67</v>
      </c>
      <c r="G27" s="419"/>
      <c r="H27" s="421" t="s">
        <v>132</v>
      </c>
      <c r="I27" s="453" t="s">
        <v>67</v>
      </c>
      <c r="J27" s="421" t="s">
        <v>132</v>
      </c>
      <c r="K27" s="453" t="s">
        <v>67</v>
      </c>
      <c r="L27" s="421" t="s">
        <v>132</v>
      </c>
      <c r="M27" s="453" t="s">
        <v>67</v>
      </c>
      <c r="N27" s="433"/>
      <c r="O27" s="434"/>
      <c r="P27" s="46"/>
    </row>
    <row r="28" spans="1:16">
      <c r="A28" s="46"/>
      <c r="B28" s="429" t="s">
        <v>30</v>
      </c>
      <c r="C28" s="430"/>
      <c r="D28" s="464">
        <v>1</v>
      </c>
      <c r="E28" s="465">
        <v>110</v>
      </c>
      <c r="F28" s="466">
        <f>K22*E28</f>
        <v>0</v>
      </c>
      <c r="G28" s="467"/>
      <c r="H28" s="465">
        <v>275</v>
      </c>
      <c r="I28" s="465">
        <f>L22*H28</f>
        <v>0</v>
      </c>
      <c r="J28" s="465">
        <v>275</v>
      </c>
      <c r="K28" s="465">
        <f>M22*J28</f>
        <v>0</v>
      </c>
      <c r="L28" s="468">
        <v>385</v>
      </c>
      <c r="M28" s="249">
        <f>N22*L28</f>
        <v>385</v>
      </c>
      <c r="N28" s="334">
        <f>F28+I28+K28+M28</f>
        <v>385</v>
      </c>
      <c r="O28" s="335"/>
      <c r="P28" s="46"/>
    </row>
    <row r="29" spans="1:16">
      <c r="A29" s="46"/>
      <c r="B29" s="433"/>
      <c r="C29" s="434"/>
      <c r="D29" s="469">
        <v>4</v>
      </c>
      <c r="E29" s="474">
        <v>50</v>
      </c>
      <c r="F29" s="471">
        <f>K23*E29</f>
        <v>50</v>
      </c>
      <c r="G29" s="472"/>
      <c r="H29" s="474">
        <v>125</v>
      </c>
      <c r="I29" s="474">
        <f>L23*H29</f>
        <v>0</v>
      </c>
      <c r="J29" s="474">
        <v>125</v>
      </c>
      <c r="K29" s="474">
        <f>M23*J29</f>
        <v>0</v>
      </c>
      <c r="L29" s="518">
        <v>175</v>
      </c>
      <c r="M29" s="250">
        <f>N23*L29</f>
        <v>0</v>
      </c>
      <c r="N29" s="349">
        <f>F29+I29+K29+M29</f>
        <v>50</v>
      </c>
      <c r="O29" s="333"/>
      <c r="P29" s="46"/>
    </row>
    <row r="30" spans="1:16">
      <c r="A30" s="46"/>
      <c r="B30" s="46"/>
      <c r="C30" s="46"/>
      <c r="D30" s="46"/>
      <c r="E30" s="517"/>
      <c r="F30" s="517"/>
      <c r="G30" s="517"/>
      <c r="H30" s="517"/>
      <c r="I30" s="517"/>
      <c r="J30" s="517"/>
      <c r="K30" s="517"/>
      <c r="L30" s="517"/>
      <c r="M30" s="46"/>
      <c r="N30" s="46"/>
      <c r="O30" s="46"/>
      <c r="P30" s="46"/>
    </row>
    <row r="31" spans="1:16" s="8" customFormat="1" ht="13.5" customHeight="1">
      <c r="A31" s="9" t="s">
        <v>133</v>
      </c>
      <c r="B31" s="514"/>
      <c r="C31" s="235">
        <f>SUM(N28:O29)</f>
        <v>435</v>
      </c>
      <c r="D31" s="47"/>
      <c r="E31" s="47"/>
      <c r="F31" s="47"/>
      <c r="G31" s="47"/>
      <c r="H31" s="47"/>
      <c r="I31" s="47"/>
      <c r="J31" s="47"/>
      <c r="K31" s="47"/>
      <c r="L31" s="47"/>
      <c r="M31" s="47"/>
      <c r="N31" s="47"/>
      <c r="O31" s="47"/>
      <c r="P31" s="47"/>
    </row>
    <row r="32" spans="1:16" ht="12.95">
      <c r="A32" s="46"/>
      <c r="B32" s="46"/>
      <c r="C32" s="46"/>
      <c r="D32" s="46"/>
      <c r="E32" s="3"/>
      <c r="F32" s="517"/>
      <c r="G32" s="517"/>
      <c r="H32" s="517"/>
      <c r="I32" s="517"/>
      <c r="J32" s="46"/>
      <c r="K32" s="46"/>
      <c r="L32" s="46"/>
      <c r="M32" s="46"/>
      <c r="N32" s="46"/>
      <c r="O32" s="46"/>
      <c r="P32" s="46"/>
    </row>
    <row r="33" spans="1:11" s="5" customFormat="1" ht="14.25" customHeight="1">
      <c r="A33" s="9" t="s">
        <v>134</v>
      </c>
      <c r="B33" s="9" t="s">
        <v>217</v>
      </c>
      <c r="C33" s="47"/>
      <c r="D33" s="47"/>
      <c r="E33" s="47"/>
      <c r="F33" s="47"/>
      <c r="G33" s="47"/>
      <c r="H33" s="47"/>
      <c r="I33" s="47"/>
      <c r="J33" s="475"/>
      <c r="K33" s="475"/>
    </row>
    <row r="34" spans="1:11" s="5" customFormat="1" ht="14.25" customHeight="1">
      <c r="A34" s="475"/>
      <c r="B34" s="9" t="s">
        <v>218</v>
      </c>
      <c r="C34" s="47"/>
      <c r="D34" s="47"/>
      <c r="E34" s="47"/>
      <c r="F34" s="47"/>
      <c r="G34" s="47"/>
      <c r="H34" s="47"/>
      <c r="I34" s="47"/>
      <c r="J34" s="475"/>
      <c r="K34" s="475"/>
    </row>
    <row r="35" spans="1:11" s="5" customFormat="1" ht="14.25" customHeight="1">
      <c r="A35" s="21" t="s">
        <v>136</v>
      </c>
      <c r="B35" s="477"/>
      <c r="C35" s="22"/>
      <c r="D35" s="22"/>
      <c r="E35" s="22"/>
      <c r="F35" s="22"/>
      <c r="G35" s="22"/>
      <c r="H35" s="151" t="s">
        <v>137</v>
      </c>
      <c r="I35" s="151" t="s">
        <v>138</v>
      </c>
      <c r="J35" s="475"/>
      <c r="K35" s="475"/>
    </row>
    <row r="36" spans="1:11" s="5" customFormat="1" ht="14.25" customHeight="1">
      <c r="A36" s="40" t="s">
        <v>219</v>
      </c>
      <c r="B36" s="476"/>
      <c r="C36" s="17"/>
      <c r="D36" s="17"/>
      <c r="E36" s="17"/>
      <c r="F36" s="17"/>
      <c r="G36" s="17"/>
      <c r="H36" s="149"/>
      <c r="I36" s="54"/>
      <c r="J36" s="46"/>
      <c r="K36" s="46"/>
    </row>
    <row r="37" spans="1:11" s="5" customFormat="1" ht="14.25" customHeight="1">
      <c r="A37" s="18" t="s">
        <v>220</v>
      </c>
      <c r="B37" s="47"/>
      <c r="C37" s="9"/>
      <c r="D37" s="9"/>
      <c r="E37" s="9"/>
      <c r="F37" s="9"/>
      <c r="G37" s="9"/>
      <c r="H37" s="422" t="s">
        <v>79</v>
      </c>
      <c r="I37" s="423"/>
      <c r="J37" s="478"/>
      <c r="K37" s="478"/>
    </row>
    <row r="38" spans="1:11" s="5" customFormat="1" ht="14.25" customHeight="1">
      <c r="A38" s="18" t="s">
        <v>221</v>
      </c>
      <c r="B38" s="47"/>
      <c r="C38" s="9"/>
      <c r="D38" s="9"/>
      <c r="E38" s="9"/>
      <c r="F38" s="9"/>
      <c r="G38" s="9"/>
      <c r="H38" s="422" t="s">
        <v>79</v>
      </c>
      <c r="I38" s="423"/>
      <c r="J38" s="46"/>
      <c r="K38" s="46"/>
    </row>
    <row r="39" spans="1:11" s="5" customFormat="1" ht="14.25" customHeight="1">
      <c r="A39" s="18"/>
      <c r="B39" s="47"/>
      <c r="C39" s="9"/>
      <c r="D39" s="9"/>
      <c r="E39" s="9"/>
      <c r="F39" s="9"/>
      <c r="G39" s="9"/>
      <c r="H39" s="519"/>
      <c r="I39" s="520"/>
      <c r="J39" s="46"/>
      <c r="K39" s="46"/>
    </row>
    <row r="40" spans="1:11" s="5" customFormat="1" ht="14.25" customHeight="1">
      <c r="A40" s="18" t="s">
        <v>222</v>
      </c>
      <c r="B40" s="47"/>
      <c r="C40" s="9"/>
      <c r="D40" s="9"/>
      <c r="E40" s="9"/>
      <c r="F40" s="9"/>
      <c r="G40" s="9"/>
      <c r="H40" s="433" t="s">
        <v>223</v>
      </c>
      <c r="I40" s="434"/>
      <c r="J40" s="478"/>
      <c r="K40" s="478"/>
    </row>
    <row r="41" spans="1:11" s="5" customFormat="1" ht="14.25" customHeight="1">
      <c r="A41" s="14"/>
      <c r="B41" s="477"/>
      <c r="C41" s="15"/>
      <c r="D41" s="15"/>
      <c r="E41" s="15"/>
      <c r="F41" s="15"/>
      <c r="G41" s="15"/>
      <c r="H41" s="152"/>
      <c r="I41" s="144"/>
      <c r="J41" s="475"/>
      <c r="K41" s="475"/>
    </row>
    <row r="42" spans="1:11" s="5" customFormat="1" ht="32.25" customHeight="1">
      <c r="A42" s="35">
        <v>1</v>
      </c>
      <c r="B42" s="17" t="s">
        <v>224</v>
      </c>
      <c r="C42" s="495"/>
      <c r="D42" s="17"/>
      <c r="E42" s="17"/>
      <c r="F42" s="17"/>
      <c r="G42" s="17"/>
      <c r="H42" s="521" t="s">
        <v>144</v>
      </c>
      <c r="I42" s="522" t="s">
        <v>145</v>
      </c>
      <c r="J42" s="46"/>
      <c r="K42" s="46"/>
    </row>
    <row r="43" spans="1:11" s="5" customFormat="1" ht="33.6" customHeight="1">
      <c r="A43" s="20"/>
      <c r="B43" s="475" t="s">
        <v>225</v>
      </c>
      <c r="C43" s="475"/>
      <c r="D43" s="25"/>
      <c r="E43" s="25"/>
      <c r="F43" s="25"/>
      <c r="G43" s="25"/>
      <c r="H43" s="461" t="s">
        <v>226</v>
      </c>
      <c r="I43" s="463"/>
      <c r="J43" s="46"/>
      <c r="K43" s="46"/>
    </row>
    <row r="44" spans="1:11" s="5" customFormat="1" ht="14.25" customHeight="1">
      <c r="A44" s="37"/>
      <c r="B44" s="31" t="s">
        <v>227</v>
      </c>
      <c r="C44" s="486"/>
      <c r="D44" s="441"/>
      <c r="E44" s="441"/>
      <c r="F44" s="441"/>
      <c r="G44" s="441"/>
      <c r="H44" s="523">
        <v>0.2</v>
      </c>
      <c r="I44" s="524"/>
      <c r="J44" s="46"/>
      <c r="K44" s="46"/>
    </row>
    <row r="45" spans="1:11" s="5" customFormat="1" ht="14.25" customHeight="1">
      <c r="A45" s="487"/>
      <c r="B45" s="488"/>
      <c r="C45" s="488"/>
      <c r="D45" s="22"/>
      <c r="E45" s="22"/>
      <c r="F45" s="22"/>
      <c r="G45" s="22"/>
      <c r="H45" s="149"/>
      <c r="I45" s="54"/>
      <c r="J45" s="46"/>
      <c r="K45" s="46"/>
    </row>
    <row r="46" spans="1:11" s="5" customFormat="1" ht="14.25" customHeight="1">
      <c r="A46" s="35">
        <v>2</v>
      </c>
      <c r="B46" s="17" t="s">
        <v>228</v>
      </c>
      <c r="C46" s="495"/>
      <c r="D46" s="30"/>
      <c r="E46" s="30"/>
      <c r="F46" s="30"/>
      <c r="G46" s="30"/>
      <c r="H46" s="456" t="s">
        <v>229</v>
      </c>
      <c r="I46" s="458"/>
      <c r="J46" s="46"/>
      <c r="K46" s="46"/>
    </row>
    <row r="47" spans="1:11" s="5" customFormat="1" ht="16.350000000000001" customHeight="1">
      <c r="A47" s="20"/>
      <c r="B47" s="19" t="s">
        <v>230</v>
      </c>
      <c r="C47" s="475"/>
      <c r="D47" s="47"/>
      <c r="E47" s="47"/>
      <c r="F47" s="47"/>
      <c r="G47" s="47"/>
      <c r="H47" s="461" t="s">
        <v>231</v>
      </c>
      <c r="I47" s="463"/>
      <c r="J47" s="50"/>
      <c r="K47" s="50"/>
    </row>
    <row r="48" spans="1:11" s="5" customFormat="1" ht="14.25" customHeight="1">
      <c r="A48" s="37"/>
      <c r="B48" s="31" t="s">
        <v>227</v>
      </c>
      <c r="C48" s="486"/>
      <c r="D48" s="31"/>
      <c r="E48" s="31"/>
      <c r="F48" s="31"/>
      <c r="G48" s="31"/>
      <c r="H48" s="523">
        <v>0.2</v>
      </c>
      <c r="I48" s="524"/>
      <c r="J48" s="46"/>
      <c r="K48" s="46"/>
    </row>
    <row r="49" spans="1:11" s="5" customFormat="1" ht="14.25" customHeight="1">
      <c r="A49" s="487"/>
      <c r="B49" s="488"/>
      <c r="C49" s="488"/>
      <c r="D49" s="477"/>
      <c r="E49" s="477"/>
      <c r="F49" s="477"/>
      <c r="G49" s="477"/>
      <c r="H49" s="525"/>
      <c r="I49" s="526"/>
      <c r="J49" s="46"/>
      <c r="K49" s="46"/>
    </row>
    <row r="50" spans="1:11" s="5" customFormat="1" ht="20.45" customHeight="1">
      <c r="A50" s="35">
        <v>3</v>
      </c>
      <c r="B50" s="17" t="s">
        <v>232</v>
      </c>
      <c r="C50" s="495"/>
      <c r="D50" s="476"/>
      <c r="E50" s="476"/>
      <c r="F50" s="476"/>
      <c r="G50" s="476"/>
      <c r="H50" s="527">
        <v>5000</v>
      </c>
      <c r="I50" s="527">
        <v>1500</v>
      </c>
      <c r="J50" s="46"/>
      <c r="K50" s="46"/>
    </row>
    <row r="51" spans="1:11" s="5" customFormat="1" ht="14.25" customHeight="1">
      <c r="A51" s="37"/>
      <c r="B51" s="9" t="s">
        <v>227</v>
      </c>
      <c r="C51" s="475"/>
      <c r="D51" s="9"/>
      <c r="E51" s="9"/>
      <c r="F51" s="9"/>
      <c r="G51" s="66"/>
      <c r="H51" s="523">
        <v>0.2</v>
      </c>
      <c r="I51" s="524"/>
      <c r="J51" s="46"/>
      <c r="K51" s="46"/>
    </row>
    <row r="52" spans="1:11" s="5" customFormat="1" ht="14.25" customHeight="1">
      <c r="A52" s="487"/>
      <c r="B52" s="488"/>
      <c r="C52" s="488"/>
      <c r="D52" s="477"/>
      <c r="E52" s="477"/>
      <c r="F52" s="477"/>
      <c r="G52" s="477"/>
      <c r="H52" s="525"/>
      <c r="I52" s="526"/>
      <c r="J52" s="46"/>
      <c r="K52" s="46"/>
    </row>
    <row r="53" spans="1:11" s="5" customFormat="1" ht="14.25" customHeight="1">
      <c r="A53" s="35">
        <v>4</v>
      </c>
      <c r="B53" s="348" t="s">
        <v>233</v>
      </c>
      <c r="C53" s="528"/>
      <c r="D53" s="528"/>
      <c r="E53" s="528"/>
      <c r="F53" s="528"/>
      <c r="G53" s="528"/>
      <c r="H53" s="529">
        <v>5000</v>
      </c>
      <c r="I53" s="530">
        <v>5000</v>
      </c>
      <c r="J53" s="46"/>
      <c r="K53" s="46"/>
    </row>
    <row r="54" spans="1:11" s="5" customFormat="1" ht="14.25" customHeight="1">
      <c r="A54" s="37"/>
      <c r="B54" s="31" t="s">
        <v>227</v>
      </c>
      <c r="C54" s="531"/>
      <c r="D54" s="486"/>
      <c r="E54" s="486"/>
      <c r="F54" s="486"/>
      <c r="G54" s="486"/>
      <c r="H54" s="523">
        <v>0.2</v>
      </c>
      <c r="I54" s="524"/>
      <c r="J54" s="46"/>
      <c r="K54" s="46"/>
    </row>
    <row r="55" spans="1:11" s="5" customFormat="1" ht="14.25" customHeight="1">
      <c r="A55" s="487"/>
      <c r="B55" s="488"/>
      <c r="C55" s="532"/>
      <c r="D55" s="488"/>
      <c r="E55" s="488"/>
      <c r="F55" s="488"/>
      <c r="G55" s="488"/>
      <c r="H55" s="533"/>
      <c r="I55" s="534"/>
      <c r="J55" s="46"/>
      <c r="K55" s="46"/>
    </row>
    <row r="56" spans="1:11" s="5" customFormat="1" ht="14.25" customHeight="1">
      <c r="A56" s="35">
        <v>5</v>
      </c>
      <c r="B56" s="17" t="s">
        <v>234</v>
      </c>
      <c r="C56" s="17"/>
      <c r="D56" s="17"/>
      <c r="E56" s="17"/>
      <c r="F56" s="17"/>
      <c r="G56" s="17"/>
      <c r="H56" s="429">
        <v>100</v>
      </c>
      <c r="I56" s="430"/>
      <c r="J56" s="46"/>
      <c r="K56" s="46"/>
    </row>
    <row r="57" spans="1:11" s="5" customFormat="1" ht="14.25" customHeight="1">
      <c r="A57" s="20"/>
      <c r="B57" s="25" t="s">
        <v>146</v>
      </c>
      <c r="C57" s="9"/>
      <c r="D57" s="9"/>
      <c r="E57" s="9"/>
      <c r="F57" s="9"/>
      <c r="G57" s="9"/>
      <c r="H57" s="422" t="s">
        <v>147</v>
      </c>
      <c r="I57" s="423"/>
      <c r="J57" s="46"/>
      <c r="K57" s="46"/>
    </row>
    <row r="58" spans="1:11" s="5" customFormat="1" ht="14.25" customHeight="1">
      <c r="A58" s="20"/>
      <c r="B58" s="31" t="s">
        <v>227</v>
      </c>
      <c r="C58" s="9"/>
      <c r="D58" s="9"/>
      <c r="E58" s="9"/>
      <c r="F58" s="9"/>
      <c r="G58" s="9"/>
      <c r="H58" s="523">
        <v>0.2</v>
      </c>
      <c r="I58" s="524"/>
      <c r="J58" s="46"/>
      <c r="K58" s="46"/>
    </row>
    <row r="59" spans="1:11" s="5" customFormat="1" ht="14.25" customHeight="1">
      <c r="A59" s="487"/>
      <c r="B59" s="488"/>
      <c r="C59" s="532"/>
      <c r="D59" s="488"/>
      <c r="E59" s="488"/>
      <c r="F59" s="488"/>
      <c r="G59" s="488"/>
      <c r="H59" s="535"/>
      <c r="I59" s="536"/>
      <c r="J59" s="46"/>
      <c r="K59" s="46"/>
    </row>
    <row r="60" spans="1:11" s="5" customFormat="1" ht="14.25" customHeight="1">
      <c r="A60" s="35">
        <v>6</v>
      </c>
      <c r="B60" s="17" t="s">
        <v>235</v>
      </c>
      <c r="C60" s="17"/>
      <c r="D60" s="17"/>
      <c r="E60" s="17"/>
      <c r="F60" s="17"/>
      <c r="G60" s="17"/>
      <c r="H60" s="429">
        <v>100</v>
      </c>
      <c r="I60" s="430"/>
      <c r="J60" s="46"/>
      <c r="K60" s="46"/>
    </row>
    <row r="61" spans="1:11" s="5" customFormat="1" ht="14.25" customHeight="1">
      <c r="A61" s="20"/>
      <c r="B61" s="25" t="s">
        <v>146</v>
      </c>
      <c r="C61" s="9"/>
      <c r="D61" s="9"/>
      <c r="E61" s="9"/>
      <c r="F61" s="9"/>
      <c r="G61" s="9"/>
      <c r="H61" s="422" t="s">
        <v>76</v>
      </c>
      <c r="I61" s="423"/>
      <c r="J61" s="46"/>
      <c r="K61" s="46"/>
    </row>
    <row r="62" spans="1:11" s="5" customFormat="1" ht="54" customHeight="1">
      <c r="A62" s="251"/>
      <c r="B62" s="9"/>
      <c r="C62" s="9"/>
      <c r="D62" s="9"/>
      <c r="E62" s="9"/>
      <c r="F62" s="9"/>
      <c r="G62" s="9"/>
      <c r="H62" s="350" t="s">
        <v>236</v>
      </c>
      <c r="I62" s="351"/>
      <c r="J62" s="46"/>
      <c r="K62" s="46"/>
    </row>
    <row r="63" spans="1:11" s="5" customFormat="1" ht="14.25" customHeight="1">
      <c r="A63" s="20"/>
      <c r="B63" s="31" t="s">
        <v>227</v>
      </c>
      <c r="C63" s="9"/>
      <c r="D63" s="9"/>
      <c r="E63" s="9"/>
      <c r="F63" s="9"/>
      <c r="G63" s="9"/>
      <c r="H63" s="523">
        <v>0.2</v>
      </c>
      <c r="I63" s="524"/>
      <c r="J63" s="46"/>
      <c r="K63" s="46"/>
    </row>
    <row r="64" spans="1:11" s="5" customFormat="1" ht="14.25" customHeight="1">
      <c r="A64" s="487"/>
      <c r="B64" s="488"/>
      <c r="C64" s="532"/>
      <c r="D64" s="488"/>
      <c r="E64" s="488"/>
      <c r="F64" s="488"/>
      <c r="G64" s="488"/>
      <c r="H64" s="537"/>
      <c r="I64" s="538"/>
      <c r="J64" s="46"/>
      <c r="K64" s="46"/>
    </row>
    <row r="65" spans="1:15" s="5" customFormat="1" ht="33" customHeight="1">
      <c r="A65" s="35">
        <v>7</v>
      </c>
      <c r="B65" s="348" t="s">
        <v>237</v>
      </c>
      <c r="C65" s="348"/>
      <c r="D65" s="348"/>
      <c r="E65" s="348"/>
      <c r="F65" s="348"/>
      <c r="G65" s="348"/>
      <c r="H65" s="539">
        <v>5000</v>
      </c>
      <c r="I65" s="540"/>
      <c r="J65" s="46"/>
      <c r="K65" s="46"/>
      <c r="L65" s="46"/>
      <c r="M65" s="46"/>
      <c r="N65" s="46"/>
      <c r="O65" s="46"/>
    </row>
    <row r="66" spans="1:15" s="5" customFormat="1" ht="14.25" customHeight="1">
      <c r="A66" s="20"/>
      <c r="B66" s="9" t="s">
        <v>227</v>
      </c>
      <c r="C66" s="9"/>
      <c r="D66" s="9"/>
      <c r="E66" s="9"/>
      <c r="F66" s="9"/>
      <c r="G66" s="9"/>
      <c r="H66" s="523">
        <v>0.2</v>
      </c>
      <c r="I66" s="524"/>
      <c r="J66" s="46"/>
      <c r="K66" s="46"/>
      <c r="L66" s="46"/>
      <c r="M66" s="46"/>
      <c r="N66" s="46"/>
      <c r="O66" s="46"/>
    </row>
    <row r="67" spans="1:15" s="5" customFormat="1" ht="14.25" customHeight="1">
      <c r="A67" s="68"/>
      <c r="B67" s="17"/>
      <c r="C67" s="541"/>
      <c r="D67" s="495"/>
      <c r="E67" s="495"/>
      <c r="F67" s="495"/>
      <c r="G67" s="495"/>
      <c r="H67" s="542"/>
      <c r="I67" s="543"/>
      <c r="J67" s="46"/>
      <c r="K67" s="46"/>
      <c r="L67" s="46"/>
      <c r="M67" s="46"/>
      <c r="N67" s="46"/>
      <c r="O67" s="46"/>
    </row>
    <row r="68" spans="1:15" s="5" customFormat="1" ht="14.25" customHeight="1">
      <c r="A68" s="35">
        <v>8</v>
      </c>
      <c r="B68" s="17" t="s">
        <v>238</v>
      </c>
      <c r="C68" s="36"/>
      <c r="D68" s="36"/>
      <c r="E68" s="36"/>
      <c r="F68" s="36"/>
      <c r="G68" s="36"/>
      <c r="H68" s="496">
        <v>100000</v>
      </c>
      <c r="I68" s="497">
        <v>30000</v>
      </c>
      <c r="J68" s="46"/>
      <c r="K68" s="46"/>
      <c r="L68" s="46"/>
      <c r="M68" s="46"/>
      <c r="N68" s="46"/>
      <c r="O68" s="46"/>
    </row>
    <row r="69" spans="1:15" s="5" customFormat="1" ht="14.25" customHeight="1">
      <c r="A69" s="20"/>
      <c r="B69" s="9" t="s">
        <v>239</v>
      </c>
      <c r="C69" s="19"/>
      <c r="D69" s="19"/>
      <c r="E69" s="19"/>
      <c r="F69" s="19"/>
      <c r="G69" s="19"/>
      <c r="H69" s="484"/>
      <c r="I69" s="485"/>
      <c r="J69" s="46"/>
      <c r="K69" s="46"/>
      <c r="L69" s="46"/>
      <c r="M69" s="46"/>
      <c r="N69" s="46"/>
      <c r="O69" s="46"/>
    </row>
    <row r="70" spans="1:15" s="5" customFormat="1" ht="14.25" customHeight="1">
      <c r="A70" s="487"/>
      <c r="B70" s="488"/>
      <c r="C70" s="532"/>
      <c r="D70" s="488"/>
      <c r="E70" s="488"/>
      <c r="F70" s="488"/>
      <c r="G70" s="488"/>
      <c r="H70" s="535"/>
      <c r="I70" s="536"/>
      <c r="J70" s="46"/>
      <c r="K70" s="46"/>
      <c r="L70" s="46"/>
      <c r="M70" s="46"/>
      <c r="N70" s="46"/>
      <c r="O70" s="46"/>
    </row>
    <row r="71" spans="1:15" s="5" customFormat="1" ht="14.25" customHeight="1">
      <c r="A71" s="35">
        <v>9</v>
      </c>
      <c r="B71" s="17" t="s">
        <v>196</v>
      </c>
      <c r="C71" s="476"/>
      <c r="D71" s="476"/>
      <c r="E71" s="476"/>
      <c r="F71" s="476"/>
      <c r="G71" s="476"/>
      <c r="H71" s="418" t="s">
        <v>240</v>
      </c>
      <c r="I71" s="419"/>
      <c r="J71" s="46"/>
      <c r="K71" s="46"/>
      <c r="L71" s="46"/>
      <c r="M71" s="46"/>
      <c r="N71" s="46"/>
      <c r="O71" s="46"/>
    </row>
    <row r="72" spans="1:15" s="5" customFormat="1" ht="14.25" customHeight="1">
      <c r="A72" s="487"/>
      <c r="B72" s="488"/>
      <c r="C72" s="532"/>
      <c r="D72" s="488"/>
      <c r="E72" s="488"/>
      <c r="F72" s="488"/>
      <c r="G72" s="488"/>
      <c r="H72" s="535"/>
      <c r="I72" s="536"/>
      <c r="J72" s="46"/>
      <c r="K72" s="46"/>
      <c r="L72" s="46"/>
      <c r="M72" s="46"/>
      <c r="N72" s="46"/>
      <c r="O72" s="46"/>
    </row>
    <row r="73" spans="1:15" s="5" customFormat="1" ht="14.25" customHeight="1">
      <c r="A73" s="475"/>
      <c r="B73" s="475"/>
      <c r="C73" s="544"/>
      <c r="D73" s="475"/>
      <c r="E73" s="475"/>
      <c r="F73" s="475"/>
      <c r="G73" s="475"/>
      <c r="H73" s="545"/>
      <c r="I73" s="545"/>
      <c r="J73" s="46"/>
      <c r="K73" s="46"/>
      <c r="L73" s="46"/>
      <c r="M73" s="46"/>
      <c r="N73" s="46"/>
      <c r="O73" s="46"/>
    </row>
    <row r="74" spans="1:15" s="5" customFormat="1" ht="14.25" customHeight="1">
      <c r="A74" s="9" t="s">
        <v>60</v>
      </c>
      <c r="B74" s="514"/>
      <c r="C74" s="46"/>
      <c r="D74" s="46"/>
      <c r="E74" s="46"/>
      <c r="F74" s="46"/>
      <c r="G74" s="46"/>
      <c r="H74" s="46"/>
      <c r="I74" s="46"/>
      <c r="J74" s="46"/>
      <c r="K74" s="46"/>
      <c r="L74" s="46"/>
      <c r="M74" s="46"/>
      <c r="N74" s="46"/>
      <c r="O74" s="46"/>
    </row>
    <row r="75" spans="1:15" ht="15" customHeight="1">
      <c r="A75" s="47">
        <v>1</v>
      </c>
      <c r="B75" s="478" t="s">
        <v>61</v>
      </c>
      <c r="C75" s="478"/>
      <c r="D75" s="478"/>
      <c r="E75" s="478"/>
      <c r="F75" s="478"/>
      <c r="G75" s="478"/>
      <c r="H75" s="478"/>
      <c r="I75" s="478"/>
      <c r="J75" s="46"/>
      <c r="K75" s="46"/>
      <c r="L75" s="478"/>
      <c r="M75" s="478"/>
      <c r="N75" s="478"/>
      <c r="O75" s="478"/>
    </row>
    <row r="76" spans="1:15">
      <c r="A76" s="47">
        <v>2</v>
      </c>
      <c r="B76" s="47" t="s">
        <v>121</v>
      </c>
      <c r="C76" s="46"/>
      <c r="D76" s="46"/>
      <c r="E76" s="46"/>
      <c r="F76" s="46"/>
      <c r="G76" s="46"/>
      <c r="H76" s="46"/>
      <c r="I76" s="46"/>
      <c r="J76" s="46"/>
      <c r="K76" s="46"/>
      <c r="L76" s="46"/>
      <c r="M76" s="46"/>
      <c r="N76" s="46"/>
      <c r="O76" s="46"/>
    </row>
    <row r="77" spans="1:15">
      <c r="A77" s="47">
        <v>3</v>
      </c>
      <c r="B77" s="47" t="s">
        <v>122</v>
      </c>
      <c r="C77" s="46"/>
      <c r="D77" s="46"/>
      <c r="E77" s="46"/>
      <c r="F77" s="46"/>
      <c r="G77" s="46"/>
      <c r="H77" s="46"/>
      <c r="I77" s="46"/>
      <c r="J77" s="46"/>
      <c r="K77" s="46"/>
      <c r="L77" s="46"/>
      <c r="M77" s="46"/>
      <c r="N77" s="46"/>
      <c r="O77" s="46"/>
    </row>
    <row r="78" spans="1:15" ht="39.950000000000003" customHeight="1">
      <c r="A78" s="47">
        <v>4</v>
      </c>
      <c r="B78" s="480" t="s">
        <v>198</v>
      </c>
      <c r="C78" s="480"/>
      <c r="D78" s="480"/>
      <c r="E78" s="480"/>
      <c r="F78" s="480"/>
      <c r="G78" s="480"/>
      <c r="H78" s="480"/>
      <c r="I78" s="480"/>
      <c r="J78" s="480"/>
      <c r="K78" s="46"/>
      <c r="L78" s="478"/>
      <c r="M78" s="478"/>
      <c r="N78" s="478"/>
      <c r="O78" s="478"/>
    </row>
    <row r="79" spans="1:15" ht="51.95" customHeight="1">
      <c r="A79" s="47">
        <v>5</v>
      </c>
      <c r="B79" s="480" t="s">
        <v>200</v>
      </c>
      <c r="C79" s="480"/>
      <c r="D79" s="480"/>
      <c r="E79" s="480"/>
      <c r="F79" s="480"/>
      <c r="G79" s="480"/>
      <c r="H79" s="480"/>
      <c r="I79" s="480"/>
      <c r="J79" s="480"/>
      <c r="K79" s="46"/>
      <c r="L79" s="475"/>
      <c r="M79" s="475"/>
      <c r="N79" s="475"/>
      <c r="O79" s="475"/>
    </row>
    <row r="80" spans="1:15">
      <c r="A80" s="47"/>
      <c r="B80" s="165"/>
      <c r="C80" s="46"/>
      <c r="D80" s="46"/>
      <c r="E80" s="46"/>
      <c r="F80" s="46"/>
      <c r="G80" s="46"/>
      <c r="H80" s="46"/>
      <c r="I80" s="46"/>
      <c r="J80" s="46"/>
      <c r="K80" s="46"/>
      <c r="L80" s="46"/>
      <c r="M80" s="46"/>
      <c r="N80" s="46"/>
      <c r="O80" s="46"/>
    </row>
    <row r="81" spans="1:15">
      <c r="A81" s="47"/>
      <c r="B81" s="165"/>
      <c r="C81" s="46"/>
      <c r="D81" s="46"/>
      <c r="E81" s="46"/>
      <c r="F81" s="46"/>
      <c r="G81" s="46"/>
      <c r="H81" s="46"/>
      <c r="I81" s="46"/>
      <c r="J81" s="46"/>
      <c r="K81" s="46"/>
      <c r="L81" s="46"/>
      <c r="M81" s="46"/>
      <c r="N81" s="46"/>
      <c r="O81" s="46"/>
    </row>
    <row r="82" spans="1:15">
      <c r="A82" s="47"/>
      <c r="B82" s="165"/>
      <c r="C82" s="46"/>
      <c r="D82" s="46"/>
      <c r="E82" s="46"/>
      <c r="F82" s="46"/>
      <c r="G82" s="46"/>
      <c r="H82" s="46"/>
      <c r="I82" s="46"/>
      <c r="J82" s="46"/>
      <c r="K82" s="46"/>
      <c r="L82" s="46"/>
      <c r="M82" s="46"/>
      <c r="N82" s="46"/>
      <c r="O82" s="46"/>
    </row>
    <row r="83" spans="1:15">
      <c r="A83" s="47"/>
      <c r="B83" s="165"/>
      <c r="C83" s="46"/>
      <c r="D83" s="46"/>
      <c r="E83" s="46"/>
      <c r="F83" s="46"/>
      <c r="G83" s="46"/>
      <c r="H83" s="46"/>
      <c r="I83" s="46"/>
      <c r="J83" s="46"/>
      <c r="K83" s="46"/>
      <c r="L83" s="46"/>
      <c r="M83" s="46"/>
      <c r="N83" s="46"/>
      <c r="O83" s="46"/>
    </row>
    <row r="84" spans="1:15">
      <c r="A84" s="47"/>
      <c r="B84" s="165"/>
      <c r="C84" s="46"/>
      <c r="D84" s="46"/>
      <c r="E84" s="46"/>
      <c r="F84" s="46"/>
      <c r="G84" s="46"/>
      <c r="H84" s="46"/>
      <c r="I84" s="46"/>
      <c r="J84" s="46"/>
      <c r="K84" s="46"/>
      <c r="L84" s="46"/>
      <c r="M84" s="46"/>
      <c r="N84" s="46"/>
      <c r="O84" s="46"/>
    </row>
    <row r="85" spans="1:15">
      <c r="A85" s="47"/>
      <c r="B85" s="513"/>
      <c r="C85" s="50"/>
      <c r="D85" s="50"/>
      <c r="E85" s="50"/>
      <c r="F85" s="50"/>
      <c r="G85" s="50"/>
      <c r="H85" s="50"/>
      <c r="I85" s="50"/>
      <c r="J85" s="46"/>
      <c r="K85" s="46"/>
      <c r="L85" s="50"/>
      <c r="M85" s="50"/>
      <c r="N85" s="50"/>
      <c r="O85" s="50"/>
    </row>
  </sheetData>
  <mergeCells count="48">
    <mergeCell ref="H66:I66"/>
    <mergeCell ref="H65:I65"/>
    <mergeCell ref="H71:I71"/>
    <mergeCell ref="B78:J78"/>
    <mergeCell ref="B79:J79"/>
    <mergeCell ref="B65:G65"/>
    <mergeCell ref="H57:I57"/>
    <mergeCell ref="H58:I58"/>
    <mergeCell ref="H63:I63"/>
    <mergeCell ref="H61:I61"/>
    <mergeCell ref="H62:I62"/>
    <mergeCell ref="H60:I60"/>
    <mergeCell ref="G22:I22"/>
    <mergeCell ref="G23:I23"/>
    <mergeCell ref="F28:G28"/>
    <mergeCell ref="H46:I46"/>
    <mergeCell ref="H51:I51"/>
    <mergeCell ref="B24:N24"/>
    <mergeCell ref="E26:G26"/>
    <mergeCell ref="B22:C23"/>
    <mergeCell ref="H37:I37"/>
    <mergeCell ref="H38:I38"/>
    <mergeCell ref="H40:I40"/>
    <mergeCell ref="J26:K26"/>
    <mergeCell ref="H26:I26"/>
    <mergeCell ref="J20:J21"/>
    <mergeCell ref="G20:I21"/>
    <mergeCell ref="D20:F21"/>
    <mergeCell ref="B20:C21"/>
    <mergeCell ref="N29:O29"/>
    <mergeCell ref="N28:O28"/>
    <mergeCell ref="F29:G29"/>
    <mergeCell ref="L20:M20"/>
    <mergeCell ref="L26:M26"/>
    <mergeCell ref="D23:F23"/>
    <mergeCell ref="D22:F22"/>
    <mergeCell ref="B28:C29"/>
    <mergeCell ref="F27:G27"/>
    <mergeCell ref="N26:O27"/>
    <mergeCell ref="D26:D27"/>
    <mergeCell ref="B26:C27"/>
    <mergeCell ref="H54:I54"/>
    <mergeCell ref="H56:I56"/>
    <mergeCell ref="B53:G53"/>
    <mergeCell ref="H44:I44"/>
    <mergeCell ref="H43:I43"/>
    <mergeCell ref="H48:I48"/>
    <mergeCell ref="H47:I47"/>
  </mergeCells>
  <phoneticPr fontId="12" type="noConversion"/>
  <pageMargins left="0.23622047244094491" right="0.23622047244094491" top="0.59055118110236227" bottom="0.59055118110236227" header="0.23622047244094491" footer="0.23622047244094491"/>
  <pageSetup paperSize="9" scale="61" orientation="landscape" r:id="rId1"/>
  <headerFooter alignWithMargins="0">
    <oddHeader>&amp;C&amp;"Arial,Bold"PLACEMENT SLIP
&amp;"Arial,Regular"&amp;8&amp;A&amp;R&amp;G</oddHeader>
    <oddFooter>&amp;LProceed cover
_____________________
Client Sign / Date&amp;C&amp;8This is to effect cover, not a contract. The signed qtn slip (if applic) and the policy form the basis of the contract.&amp;10
&amp;6E &amp;&amp; OE&amp;RConfirmed
_____________________
Insurer Sign / Date</oddFooter>
  </headerFooter>
  <rowBreaks count="2" manualBreakCount="2">
    <brk id="55" max="14" man="1"/>
    <brk id="80" max="14"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CD0DA-2FF3-44EF-A46C-ACF3AA76CD25}">
  <sheetPr codeName="Sheet14"/>
  <dimension ref="A1:R90"/>
  <sheetViews>
    <sheetView view="pageBreakPreview" zoomScale="70" zoomScaleNormal="70" zoomScaleSheetLayoutView="70" zoomScalePageLayoutView="85" workbookViewId="0"/>
  </sheetViews>
  <sheetFormatPr defaultColWidth="9.140625" defaultRowHeight="12.6"/>
  <cols>
    <col min="1" max="1" width="8.85546875" style="46" customWidth="1"/>
    <col min="2" max="2" width="30" style="12" customWidth="1"/>
    <col min="3" max="3" width="10.42578125" style="46" customWidth="1"/>
    <col min="4" max="5" width="10.85546875" style="46" customWidth="1"/>
    <col min="6" max="6" width="8.85546875" style="46" customWidth="1"/>
    <col min="7" max="7" width="10.140625" style="46" customWidth="1"/>
    <col min="8" max="8" width="10.85546875" style="46" customWidth="1"/>
    <col min="9" max="9" width="11.140625" style="46" customWidth="1"/>
    <col min="10" max="10" width="10.85546875" style="46" customWidth="1"/>
    <col min="11" max="11" width="11.85546875" style="46" customWidth="1"/>
    <col min="12" max="12" width="11.140625" style="46" customWidth="1"/>
    <col min="13" max="15" width="10.85546875" style="46" customWidth="1"/>
    <col min="16" max="16" width="20.85546875" style="46" customWidth="1"/>
    <col min="17" max="17" width="23.85546875" style="46" customWidth="1"/>
    <col min="18" max="16384" width="9.140625" style="46"/>
  </cols>
  <sheetData>
    <row r="1" spans="1:16" ht="24.95">
      <c r="A1" s="1" t="s">
        <v>241</v>
      </c>
      <c r="B1" s="11"/>
    </row>
    <row r="2" spans="1:16" ht="15" customHeight="1">
      <c r="A2" s="1"/>
      <c r="B2" s="11"/>
      <c r="F2" s="2"/>
      <c r="G2" s="2"/>
      <c r="H2" s="2"/>
      <c r="I2" s="2"/>
    </row>
    <row r="3" spans="1:16" s="5" customFormat="1" ht="12.95">
      <c r="A3" s="9" t="s">
        <v>1</v>
      </c>
      <c r="B3" s="9"/>
      <c r="C3" s="47"/>
      <c r="D3" s="25"/>
      <c r="E3" s="47"/>
      <c r="F3" s="47"/>
      <c r="G3" s="47"/>
      <c r="H3" s="47"/>
      <c r="I3" s="47"/>
      <c r="J3" s="84"/>
      <c r="K3" s="84"/>
      <c r="L3" s="84"/>
      <c r="M3" s="84"/>
      <c r="N3" s="84"/>
      <c r="O3" s="84"/>
      <c r="P3" s="84"/>
    </row>
    <row r="4" spans="1:16" s="5" customFormat="1" ht="12.95">
      <c r="A4" s="9" t="s">
        <v>2</v>
      </c>
      <c r="B4" s="9"/>
      <c r="C4" s="47" t="s">
        <v>3</v>
      </c>
      <c r="D4" s="25"/>
      <c r="E4" s="47"/>
      <c r="F4" s="47"/>
      <c r="G4" s="47"/>
      <c r="H4" s="47"/>
      <c r="I4" s="47"/>
      <c r="J4" s="84"/>
      <c r="K4" s="84"/>
      <c r="L4" s="84"/>
      <c r="M4" s="84"/>
      <c r="N4" s="84"/>
      <c r="O4" s="84"/>
      <c r="P4" s="84"/>
    </row>
    <row r="5" spans="1:16" s="5" customFormat="1" ht="12.95">
      <c r="A5" s="9" t="s">
        <v>4</v>
      </c>
      <c r="B5" s="9"/>
      <c r="C5" s="47" t="s">
        <v>3</v>
      </c>
      <c r="D5" s="25"/>
      <c r="E5" s="47"/>
      <c r="F5" s="47"/>
      <c r="G5" s="47"/>
      <c r="H5" s="47"/>
      <c r="I5" s="47"/>
      <c r="J5" s="84"/>
      <c r="K5" s="84"/>
      <c r="L5" s="84"/>
      <c r="M5" s="84"/>
      <c r="N5" s="84"/>
      <c r="O5" s="84"/>
      <c r="P5" s="84"/>
    </row>
    <row r="6" spans="1:16" s="5" customFormat="1" ht="12.95">
      <c r="A6" s="9" t="s">
        <v>5</v>
      </c>
      <c r="B6" s="9"/>
      <c r="C6" s="47" t="s">
        <v>6</v>
      </c>
      <c r="D6" s="25"/>
      <c r="E6" s="47"/>
      <c r="F6" s="47"/>
      <c r="G6" s="47"/>
      <c r="H6" s="47"/>
      <c r="I6" s="47"/>
      <c r="J6" s="84"/>
      <c r="K6" s="84"/>
      <c r="L6" s="84"/>
      <c r="M6" s="84"/>
      <c r="N6" s="84"/>
      <c r="O6" s="84"/>
      <c r="P6" s="84"/>
    </row>
    <row r="7" spans="1:16" s="5" customFormat="1" ht="12.95">
      <c r="A7" s="9" t="s">
        <v>7</v>
      </c>
      <c r="B7" s="9"/>
      <c r="C7" s="47" t="s">
        <v>8</v>
      </c>
      <c r="D7" s="25"/>
      <c r="E7" s="47"/>
      <c r="F7" s="47"/>
      <c r="G7" s="47"/>
      <c r="H7" s="47"/>
      <c r="I7" s="47"/>
      <c r="J7" s="84"/>
      <c r="K7" s="84"/>
      <c r="L7" s="84"/>
      <c r="M7" s="84"/>
      <c r="N7" s="84"/>
      <c r="O7" s="84"/>
      <c r="P7" s="84"/>
    </row>
    <row r="8" spans="1:16" s="5" customFormat="1" ht="12.95">
      <c r="A8" s="9" t="s">
        <v>9</v>
      </c>
      <c r="B8" s="9"/>
      <c r="C8" s="47" t="s">
        <v>10</v>
      </c>
      <c r="D8" s="47"/>
      <c r="E8" s="47"/>
      <c r="F8" s="47"/>
      <c r="G8" s="47"/>
      <c r="H8" s="47"/>
      <c r="I8" s="47"/>
      <c r="J8" s="84"/>
      <c r="K8" s="84"/>
      <c r="L8" s="84"/>
      <c r="M8" s="84"/>
      <c r="N8" s="84"/>
      <c r="O8" s="84"/>
      <c r="P8" s="84"/>
    </row>
    <row r="9" spans="1:16" s="5" customFormat="1" ht="12.95">
      <c r="A9" s="9" t="s">
        <v>11</v>
      </c>
      <c r="B9" s="9"/>
      <c r="C9" s="47" t="s">
        <v>12</v>
      </c>
      <c r="D9" s="47"/>
      <c r="E9" s="47"/>
      <c r="F9" s="47"/>
      <c r="G9" s="47"/>
      <c r="H9" s="47"/>
      <c r="I9" s="47"/>
      <c r="J9" s="84"/>
      <c r="K9" s="84"/>
      <c r="L9" s="84"/>
      <c r="M9" s="84"/>
      <c r="N9" s="84"/>
      <c r="O9" s="84"/>
      <c r="P9" s="84"/>
    </row>
    <row r="10" spans="1:16" s="5" customFormat="1" ht="12.95">
      <c r="A10" s="9" t="s">
        <v>13</v>
      </c>
      <c r="B10" s="9"/>
      <c r="C10" s="47"/>
      <c r="D10" s="47"/>
      <c r="E10" s="47"/>
      <c r="F10" s="47"/>
      <c r="G10" s="47"/>
      <c r="H10" s="47"/>
      <c r="I10" s="47"/>
      <c r="J10" s="84"/>
      <c r="K10" s="84"/>
      <c r="L10" s="84"/>
      <c r="M10" s="84"/>
      <c r="N10" s="84"/>
      <c r="O10" s="84"/>
      <c r="P10" s="84"/>
    </row>
    <row r="11" spans="1:16" s="5" customFormat="1" ht="12.95">
      <c r="A11" s="9" t="s">
        <v>14</v>
      </c>
      <c r="B11" s="9"/>
      <c r="C11" s="416">
        <v>50011653</v>
      </c>
      <c r="D11" s="47"/>
      <c r="E11" s="47"/>
      <c r="F11" s="47"/>
      <c r="G11" s="47"/>
      <c r="H11" s="47"/>
      <c r="I11" s="47"/>
      <c r="J11" s="84"/>
      <c r="K11" s="84"/>
      <c r="L11" s="84"/>
      <c r="M11" s="84"/>
      <c r="N11" s="84"/>
      <c r="O11" s="84"/>
      <c r="P11" s="84"/>
    </row>
    <row r="12" spans="1:16" s="5" customFormat="1" ht="12.95">
      <c r="A12" s="9"/>
      <c r="B12" s="9"/>
      <c r="C12" s="47"/>
      <c r="D12" s="47"/>
      <c r="E12" s="47"/>
      <c r="F12" s="47"/>
      <c r="G12" s="47"/>
      <c r="H12" s="47"/>
      <c r="I12" s="47"/>
      <c r="J12" s="84"/>
      <c r="K12" s="84"/>
      <c r="L12" s="84"/>
      <c r="M12" s="84"/>
      <c r="N12" s="84"/>
      <c r="O12" s="84"/>
      <c r="P12" s="84"/>
    </row>
    <row r="13" spans="1:16" s="5" customFormat="1" ht="12.95">
      <c r="A13" s="9" t="s">
        <v>15</v>
      </c>
      <c r="B13" s="9"/>
      <c r="C13" s="47" t="s">
        <v>16</v>
      </c>
      <c r="D13" s="9"/>
      <c r="E13" s="47"/>
      <c r="F13" s="47"/>
      <c r="G13" s="47"/>
      <c r="H13" s="47"/>
      <c r="I13" s="47"/>
      <c r="J13" s="46"/>
      <c r="K13" s="46"/>
      <c r="L13" s="46"/>
      <c r="M13" s="46"/>
      <c r="N13" s="46"/>
      <c r="O13" s="46"/>
      <c r="P13" s="46"/>
    </row>
    <row r="14" spans="1:16" s="5" customFormat="1" ht="12.95">
      <c r="A14" s="9" t="s">
        <v>17</v>
      </c>
      <c r="B14" s="9"/>
      <c r="C14" s="47" t="s">
        <v>18</v>
      </c>
      <c r="D14" s="9"/>
      <c r="E14" s="47"/>
      <c r="F14" s="47"/>
      <c r="G14" s="47"/>
      <c r="H14" s="47"/>
      <c r="I14" s="47"/>
      <c r="J14" s="46"/>
      <c r="K14" s="46"/>
      <c r="L14" s="46"/>
      <c r="M14" s="46"/>
      <c r="N14" s="46"/>
      <c r="O14" s="46"/>
      <c r="P14" s="46"/>
    </row>
    <row r="15" spans="1:16" s="5" customFormat="1" ht="12.95">
      <c r="A15" s="9" t="s">
        <v>19</v>
      </c>
      <c r="B15" s="9"/>
      <c r="C15" s="416" t="s">
        <v>20</v>
      </c>
      <c r="D15" s="47"/>
      <c r="E15" s="47"/>
      <c r="F15" s="47"/>
      <c r="G15" s="47"/>
      <c r="H15" s="47"/>
      <c r="I15" s="47"/>
      <c r="J15" s="46"/>
      <c r="K15" s="46"/>
      <c r="L15" s="46"/>
      <c r="M15" s="46"/>
      <c r="N15" s="46"/>
      <c r="O15" s="46"/>
      <c r="P15" s="46"/>
    </row>
    <row r="16" spans="1:16" s="5" customFormat="1" ht="12.95">
      <c r="A16" s="9"/>
      <c r="B16" s="47"/>
      <c r="C16" s="47"/>
      <c r="D16" s="47"/>
      <c r="E16" s="47"/>
      <c r="F16" s="9"/>
      <c r="G16" s="47"/>
      <c r="H16" s="47"/>
      <c r="I16" s="47"/>
      <c r="J16" s="84"/>
      <c r="K16" s="84"/>
      <c r="L16" s="84"/>
      <c r="M16" s="84"/>
      <c r="N16" s="84"/>
      <c r="O16" s="84"/>
      <c r="P16" s="84"/>
    </row>
    <row r="17" spans="1:16" s="5" customFormat="1" ht="12.95">
      <c r="A17" s="9" t="s">
        <v>21</v>
      </c>
      <c r="B17" s="47"/>
      <c r="C17" s="47" t="s">
        <v>22</v>
      </c>
      <c r="D17" s="47"/>
      <c r="E17" s="47"/>
      <c r="F17" s="9"/>
      <c r="G17" s="47"/>
      <c r="H17" s="47"/>
      <c r="I17" s="47"/>
      <c r="J17" s="84"/>
      <c r="K17" s="84"/>
      <c r="L17" s="84"/>
      <c r="M17" s="84"/>
      <c r="N17" s="84"/>
      <c r="O17" s="84"/>
      <c r="P17" s="84"/>
    </row>
    <row r="18" spans="1:16" s="5" customFormat="1">
      <c r="A18" s="46"/>
      <c r="B18" s="46"/>
      <c r="C18" s="46"/>
      <c r="D18" s="46"/>
      <c r="E18" s="46"/>
      <c r="F18" s="46"/>
      <c r="G18" s="46"/>
      <c r="H18" s="46"/>
      <c r="I18" s="46"/>
      <c r="J18" s="46"/>
      <c r="K18" s="46"/>
      <c r="L18" s="46"/>
      <c r="M18" s="46"/>
      <c r="N18" s="46"/>
      <c r="O18" s="46"/>
      <c r="P18" s="46"/>
    </row>
    <row r="19" spans="1:16" s="5" customFormat="1" ht="12.95">
      <c r="A19" s="3" t="s">
        <v>23</v>
      </c>
      <c r="B19" s="514"/>
      <c r="C19" s="3"/>
      <c r="D19" s="3"/>
      <c r="E19" s="3"/>
      <c r="F19" s="46"/>
      <c r="G19" s="46"/>
      <c r="H19" s="46"/>
      <c r="I19" s="46"/>
      <c r="J19" s="46"/>
      <c r="K19" s="46"/>
      <c r="L19" s="46"/>
      <c r="M19" s="46"/>
      <c r="N19" s="46"/>
      <c r="O19" s="46"/>
      <c r="P19" s="46"/>
    </row>
    <row r="20" spans="1:16" s="8" customFormat="1">
      <c r="A20" s="47"/>
      <c r="B20" s="429" t="s">
        <v>24</v>
      </c>
      <c r="C20" s="430"/>
      <c r="D20" s="429" t="s">
        <v>25</v>
      </c>
      <c r="E20" s="450"/>
      <c r="F20" s="430"/>
      <c r="G20" s="429" t="s">
        <v>26</v>
      </c>
      <c r="H20" s="450"/>
      <c r="I20" s="430"/>
      <c r="J20" s="451" t="s">
        <v>124</v>
      </c>
      <c r="K20" s="451" t="s">
        <v>125</v>
      </c>
      <c r="L20" s="47"/>
      <c r="M20" s="428"/>
      <c r="N20" s="47"/>
      <c r="O20" s="47"/>
      <c r="P20" s="47"/>
    </row>
    <row r="21" spans="1:16" s="5" customFormat="1">
      <c r="A21" s="46"/>
      <c r="B21" s="433"/>
      <c r="C21" s="434"/>
      <c r="D21" s="433"/>
      <c r="E21" s="454"/>
      <c r="F21" s="434"/>
      <c r="G21" s="433"/>
      <c r="H21" s="454"/>
      <c r="I21" s="434"/>
      <c r="J21" s="455"/>
      <c r="K21" s="455"/>
      <c r="L21" s="517"/>
      <c r="M21" s="517"/>
      <c r="N21" s="517"/>
      <c r="O21" s="46"/>
      <c r="P21" s="46"/>
    </row>
    <row r="22" spans="1:16" s="5" customFormat="1">
      <c r="A22" s="46"/>
      <c r="B22" s="429" t="s">
        <v>30</v>
      </c>
      <c r="C22" s="430"/>
      <c r="D22" s="429" t="s">
        <v>242</v>
      </c>
      <c r="E22" s="450"/>
      <c r="F22" s="430"/>
      <c r="G22" s="429" t="s">
        <v>32</v>
      </c>
      <c r="H22" s="450"/>
      <c r="I22" s="430"/>
      <c r="J22" s="460">
        <v>1</v>
      </c>
      <c r="K22" s="460">
        <v>5</v>
      </c>
      <c r="L22" s="517"/>
      <c r="M22" s="46"/>
      <c r="N22" s="46"/>
      <c r="O22" s="46"/>
      <c r="P22" s="46"/>
    </row>
    <row r="23" spans="1:16" s="5" customFormat="1">
      <c r="A23" s="46"/>
      <c r="B23" s="312" t="s">
        <v>36</v>
      </c>
      <c r="C23" s="426"/>
      <c r="D23" s="426"/>
      <c r="E23" s="426"/>
      <c r="F23" s="426"/>
      <c r="G23" s="426"/>
      <c r="H23" s="426"/>
      <c r="I23" s="426"/>
      <c r="J23" s="426"/>
      <c r="K23" s="426"/>
      <c r="L23" s="517"/>
      <c r="M23" s="46"/>
      <c r="N23" s="46"/>
      <c r="O23" s="46"/>
      <c r="P23" s="46"/>
    </row>
    <row r="24" spans="1:16" s="5" customFormat="1" ht="12.95">
      <c r="A24" s="46"/>
      <c r="B24" s="3"/>
      <c r="C24" s="46"/>
      <c r="D24" s="46"/>
      <c r="E24" s="517"/>
      <c r="F24" s="517"/>
      <c r="G24" s="517"/>
      <c r="H24" s="517"/>
      <c r="I24" s="517"/>
      <c r="J24" s="517"/>
      <c r="K24" s="517"/>
      <c r="L24" s="517"/>
      <c r="M24" s="46"/>
      <c r="N24" s="46"/>
      <c r="O24" s="46"/>
      <c r="P24" s="46"/>
    </row>
    <row r="25" spans="1:16" s="8" customFormat="1" ht="12.95">
      <c r="A25" s="3" t="s">
        <v>37</v>
      </c>
      <c r="B25" s="429" t="s">
        <v>24</v>
      </c>
      <c r="C25" s="430"/>
      <c r="D25" s="451" t="s">
        <v>124</v>
      </c>
      <c r="E25" s="451" t="s">
        <v>243</v>
      </c>
      <c r="F25" s="429" t="s">
        <v>132</v>
      </c>
      <c r="G25" s="430"/>
      <c r="H25" s="429" t="s">
        <v>67</v>
      </c>
      <c r="I25" s="430"/>
      <c r="J25" s="47"/>
      <c r="K25" s="47"/>
      <c r="L25" s="47"/>
      <c r="M25" s="47"/>
      <c r="N25" s="47"/>
      <c r="O25" s="47"/>
      <c r="P25" s="47"/>
    </row>
    <row r="26" spans="1:16" s="5" customFormat="1">
      <c r="A26" s="46"/>
      <c r="B26" s="433"/>
      <c r="C26" s="434"/>
      <c r="D26" s="455"/>
      <c r="E26" s="455"/>
      <c r="F26" s="433"/>
      <c r="G26" s="434"/>
      <c r="H26" s="433"/>
      <c r="I26" s="434"/>
      <c r="J26" s="46"/>
      <c r="K26" s="46"/>
      <c r="L26" s="46"/>
      <c r="M26" s="46"/>
      <c r="N26" s="46"/>
      <c r="O26" s="46"/>
      <c r="P26" s="46"/>
    </row>
    <row r="27" spans="1:16" s="5" customFormat="1">
      <c r="A27" s="46"/>
      <c r="B27" s="546" t="s">
        <v>30</v>
      </c>
      <c r="C27" s="547"/>
      <c r="D27" s="548">
        <v>1</v>
      </c>
      <c r="E27" s="548">
        <f>K22</f>
        <v>5</v>
      </c>
      <c r="F27" s="549">
        <v>311</v>
      </c>
      <c r="G27" s="550"/>
      <c r="H27" s="549">
        <f>E27*F27</f>
        <v>1555</v>
      </c>
      <c r="I27" s="550"/>
      <c r="J27" s="46"/>
      <c r="K27" s="46"/>
      <c r="L27" s="46"/>
      <c r="M27" s="46"/>
      <c r="N27" s="46"/>
      <c r="O27" s="46"/>
      <c r="P27" s="46"/>
    </row>
    <row r="28" spans="1:16" s="5" customFormat="1">
      <c r="A28" s="46"/>
      <c r="B28" s="46"/>
      <c r="C28" s="46"/>
      <c r="D28" s="46"/>
      <c r="E28" s="517"/>
      <c r="F28" s="517"/>
      <c r="G28" s="517"/>
      <c r="H28" s="517"/>
      <c r="I28" s="517"/>
      <c r="J28" s="517"/>
      <c r="K28" s="517"/>
      <c r="L28" s="517"/>
      <c r="M28" s="46"/>
      <c r="N28" s="46"/>
      <c r="O28" s="46"/>
      <c r="P28" s="46"/>
    </row>
    <row r="29" spans="1:16" s="8" customFormat="1" ht="12.95">
      <c r="A29" s="9" t="s">
        <v>133</v>
      </c>
      <c r="B29" s="514"/>
      <c r="C29" s="235">
        <f>H27</f>
        <v>1555</v>
      </c>
      <c r="D29" s="47"/>
      <c r="E29" s="47"/>
      <c r="F29" s="47"/>
      <c r="G29" s="47"/>
      <c r="H29" s="47"/>
      <c r="I29" s="47"/>
      <c r="J29" s="47"/>
      <c r="K29" s="47"/>
      <c r="L29" s="47"/>
      <c r="M29" s="47"/>
      <c r="N29" s="47"/>
      <c r="O29" s="47"/>
      <c r="P29" s="47"/>
    </row>
    <row r="30" spans="1:16" s="5" customFormat="1" ht="12.95">
      <c r="A30" s="46"/>
      <c r="B30" s="46"/>
      <c r="C30" s="46"/>
      <c r="D30" s="46"/>
      <c r="E30" s="3"/>
      <c r="F30" s="517"/>
      <c r="G30" s="517"/>
      <c r="H30" s="517"/>
      <c r="I30" s="517"/>
      <c r="J30" s="46"/>
      <c r="K30" s="46"/>
      <c r="L30" s="46"/>
      <c r="M30" s="46"/>
      <c r="N30" s="46"/>
      <c r="O30" s="46"/>
      <c r="P30" s="46"/>
    </row>
    <row r="31" spans="1:16" s="7" customFormat="1" ht="12.95">
      <c r="A31" s="3" t="s">
        <v>134</v>
      </c>
      <c r="B31" s="13" t="s">
        <v>244</v>
      </c>
      <c r="C31" s="46"/>
      <c r="D31" s="46"/>
      <c r="E31" s="46"/>
      <c r="F31" s="46"/>
      <c r="G31" s="46"/>
      <c r="H31" s="46"/>
      <c r="I31" s="46"/>
      <c r="J31" s="475"/>
      <c r="K31" s="475"/>
      <c r="L31" s="475"/>
      <c r="M31" s="475"/>
      <c r="N31" s="475"/>
      <c r="O31" s="475"/>
      <c r="P31" s="475"/>
    </row>
    <row r="32" spans="1:16" s="7" customFormat="1" ht="12.95">
      <c r="A32" s="40" t="s">
        <v>245</v>
      </c>
      <c r="B32" s="476"/>
      <c r="C32" s="17"/>
      <c r="D32" s="17"/>
      <c r="E32" s="17"/>
      <c r="F32" s="17"/>
      <c r="G32" s="24"/>
      <c r="H32" s="56" t="s">
        <v>137</v>
      </c>
      <c r="I32" s="57"/>
      <c r="J32" s="492"/>
      <c r="K32" s="475"/>
      <c r="L32" s="475"/>
      <c r="M32" s="475"/>
      <c r="N32" s="475"/>
      <c r="O32" s="475"/>
      <c r="P32" s="475"/>
    </row>
    <row r="33" spans="1:13" s="7" customFormat="1" ht="12.95">
      <c r="A33" s="33"/>
      <c r="B33" s="476"/>
      <c r="C33" s="34"/>
      <c r="D33" s="34"/>
      <c r="E33" s="34"/>
      <c r="F33" s="34"/>
      <c r="G33" s="45"/>
      <c r="H33" s="56"/>
      <c r="I33" s="57"/>
      <c r="J33" s="253"/>
      <c r="K33" s="46"/>
      <c r="L33" s="46"/>
      <c r="M33" s="46"/>
    </row>
    <row r="34" spans="1:13" s="7" customFormat="1" ht="20.45" customHeight="1">
      <c r="A34" s="58" t="s">
        <v>246</v>
      </c>
      <c r="B34" s="9" t="s">
        <v>247</v>
      </c>
      <c r="C34" s="41"/>
      <c r="D34" s="41"/>
      <c r="E34" s="41"/>
      <c r="F34" s="41"/>
      <c r="G34" s="41"/>
      <c r="H34" s="48" t="s">
        <v>248</v>
      </c>
      <c r="I34" s="49"/>
      <c r="J34" s="551"/>
      <c r="K34" s="478"/>
      <c r="L34" s="478"/>
      <c r="M34" s="478"/>
    </row>
    <row r="35" spans="1:13" s="7" customFormat="1" ht="12.95">
      <c r="A35" s="58" t="s">
        <v>249</v>
      </c>
      <c r="B35" s="9" t="s">
        <v>250</v>
      </c>
      <c r="C35" s="41"/>
      <c r="D35" s="41"/>
      <c r="E35" s="41"/>
      <c r="F35" s="41"/>
      <c r="G35" s="41"/>
      <c r="H35" s="48" t="s">
        <v>240</v>
      </c>
      <c r="I35" s="49"/>
      <c r="J35" s="252"/>
      <c r="K35" s="6"/>
      <c r="L35" s="6"/>
      <c r="M35" s="6"/>
    </row>
    <row r="36" spans="1:13" s="7" customFormat="1" ht="12.95">
      <c r="A36" s="58" t="s">
        <v>210</v>
      </c>
      <c r="B36" s="9" t="s">
        <v>251</v>
      </c>
      <c r="C36" s="41"/>
      <c r="D36" s="41"/>
      <c r="E36" s="41"/>
      <c r="F36" s="41"/>
      <c r="G36" s="41"/>
      <c r="H36" s="48" t="s">
        <v>240</v>
      </c>
      <c r="I36" s="49"/>
      <c r="J36" s="252"/>
      <c r="K36" s="6"/>
      <c r="L36" s="6"/>
      <c r="M36" s="6"/>
    </row>
    <row r="37" spans="1:13" s="7" customFormat="1" ht="12.95">
      <c r="A37" s="58" t="s">
        <v>252</v>
      </c>
      <c r="B37" s="9" t="s">
        <v>253</v>
      </c>
      <c r="C37" s="41"/>
      <c r="D37" s="41"/>
      <c r="E37" s="41"/>
      <c r="F37" s="41"/>
      <c r="G37" s="41"/>
      <c r="H37" s="48" t="s">
        <v>240</v>
      </c>
      <c r="I37" s="49"/>
      <c r="J37" s="252"/>
      <c r="K37" s="6"/>
      <c r="L37" s="6"/>
      <c r="M37" s="6"/>
    </row>
    <row r="38" spans="1:13" s="7" customFormat="1" ht="12.95">
      <c r="A38" s="58" t="s">
        <v>254</v>
      </c>
      <c r="B38" s="9" t="s">
        <v>255</v>
      </c>
      <c r="C38" s="41"/>
      <c r="D38" s="41"/>
      <c r="E38" s="41"/>
      <c r="F38" s="41"/>
      <c r="G38" s="41"/>
      <c r="H38" s="48" t="s">
        <v>240</v>
      </c>
      <c r="I38" s="49"/>
      <c r="J38" s="252"/>
      <c r="K38" s="6"/>
      <c r="L38" s="6"/>
      <c r="M38" s="6"/>
    </row>
    <row r="39" spans="1:13" s="7" customFormat="1" ht="12.95">
      <c r="A39" s="58" t="s">
        <v>256</v>
      </c>
      <c r="B39" s="9" t="s">
        <v>257</v>
      </c>
      <c r="C39" s="41"/>
      <c r="D39" s="41"/>
      <c r="E39" s="41"/>
      <c r="F39" s="41"/>
      <c r="G39" s="41"/>
      <c r="H39" s="48" t="s">
        <v>240</v>
      </c>
      <c r="I39" s="49"/>
      <c r="J39" s="252"/>
      <c r="K39" s="6"/>
      <c r="L39" s="6"/>
      <c r="M39" s="6"/>
    </row>
    <row r="40" spans="1:13" s="7" customFormat="1" ht="12.95">
      <c r="A40" s="138" t="s">
        <v>258</v>
      </c>
      <c r="B40" s="85" t="s">
        <v>259</v>
      </c>
      <c r="C40" s="41"/>
      <c r="D40" s="41"/>
      <c r="E40" s="41"/>
      <c r="F40" s="41"/>
      <c r="G40" s="41"/>
      <c r="H40" s="48" t="s">
        <v>240</v>
      </c>
      <c r="I40" s="49"/>
      <c r="J40" s="438"/>
      <c r="K40" s="47"/>
      <c r="L40" s="47"/>
      <c r="M40" s="47"/>
    </row>
    <row r="41" spans="1:13" s="7" customFormat="1" ht="12.95">
      <c r="A41" s="58"/>
      <c r="B41" s="9"/>
      <c r="C41" s="41"/>
      <c r="D41" s="41"/>
      <c r="E41" s="41"/>
      <c r="F41" s="41"/>
      <c r="G41" s="41"/>
      <c r="H41" s="48"/>
      <c r="I41" s="49"/>
      <c r="J41" s="253"/>
      <c r="K41" s="46"/>
      <c r="L41" s="46"/>
      <c r="M41" s="46"/>
    </row>
    <row r="42" spans="1:13" s="7" customFormat="1" ht="12.95">
      <c r="A42" s="59"/>
      <c r="B42" s="9" t="s">
        <v>260</v>
      </c>
      <c r="C42" s="475"/>
      <c r="D42" s="9"/>
      <c r="E42" s="9"/>
      <c r="F42" s="9"/>
      <c r="G42" s="27"/>
      <c r="H42" s="552"/>
      <c r="I42" s="553"/>
      <c r="J42" s="253"/>
      <c r="K42" s="46"/>
      <c r="L42" s="46"/>
      <c r="M42" s="46"/>
    </row>
    <row r="43" spans="1:13" s="7" customFormat="1" ht="12.95">
      <c r="A43" s="60">
        <v>-1</v>
      </c>
      <c r="B43" s="9" t="s">
        <v>261</v>
      </c>
      <c r="C43" s="475"/>
      <c r="D43" s="25"/>
      <c r="E43" s="25"/>
      <c r="F43" s="25"/>
      <c r="G43" s="61"/>
      <c r="H43" s="552"/>
      <c r="I43" s="554"/>
      <c r="J43" s="253"/>
      <c r="K43" s="46"/>
      <c r="L43" s="46"/>
      <c r="M43" s="46"/>
    </row>
    <row r="44" spans="1:13" s="7" customFormat="1" ht="12.95">
      <c r="A44" s="555" t="s">
        <v>151</v>
      </c>
      <c r="B44" s="47" t="s">
        <v>262</v>
      </c>
      <c r="C44" s="475"/>
      <c r="D44" s="25"/>
      <c r="E44" s="25"/>
      <c r="F44" s="25"/>
      <c r="G44" s="61"/>
      <c r="H44" s="552" t="s">
        <v>229</v>
      </c>
      <c r="I44" s="556"/>
      <c r="J44" s="253"/>
      <c r="K44" s="46"/>
      <c r="L44" s="46"/>
      <c r="M44" s="46"/>
    </row>
    <row r="45" spans="1:13" s="7" customFormat="1" ht="12.95">
      <c r="A45" s="555" t="s">
        <v>154</v>
      </c>
      <c r="B45" s="47" t="s">
        <v>263</v>
      </c>
      <c r="C45" s="475"/>
      <c r="D45" s="9"/>
      <c r="E45" s="9"/>
      <c r="F45" s="9"/>
      <c r="G45" s="27"/>
      <c r="H45" s="552" t="s">
        <v>79</v>
      </c>
      <c r="I45" s="556"/>
      <c r="J45" s="253"/>
      <c r="K45" s="46"/>
      <c r="L45" s="46"/>
      <c r="M45" s="46"/>
    </row>
    <row r="46" spans="1:13" s="7" customFormat="1" ht="12.95">
      <c r="A46" s="555" t="s">
        <v>158</v>
      </c>
      <c r="B46" s="47" t="s">
        <v>264</v>
      </c>
      <c r="C46" s="475"/>
      <c r="D46" s="9"/>
      <c r="E46" s="9"/>
      <c r="F46" s="9"/>
      <c r="G46" s="27"/>
      <c r="H46" s="552" t="s">
        <v>79</v>
      </c>
      <c r="I46" s="556"/>
      <c r="J46" s="253"/>
      <c r="K46" s="46"/>
      <c r="L46" s="46"/>
      <c r="M46" s="46"/>
    </row>
    <row r="47" spans="1:13" s="7" customFormat="1" ht="12.95">
      <c r="A47" s="555"/>
      <c r="B47" s="47"/>
      <c r="C47" s="475"/>
      <c r="D47" s="9"/>
      <c r="E47" s="9"/>
      <c r="F47" s="9"/>
      <c r="G47" s="27"/>
      <c r="H47" s="552"/>
      <c r="I47" s="556"/>
      <c r="J47" s="253"/>
      <c r="K47" s="46"/>
      <c r="L47" s="46"/>
      <c r="M47" s="46"/>
    </row>
    <row r="48" spans="1:13" s="7" customFormat="1" ht="12.95">
      <c r="A48" s="60">
        <v>-2</v>
      </c>
      <c r="B48" s="9" t="s">
        <v>265</v>
      </c>
      <c r="C48" s="475"/>
      <c r="D48" s="25"/>
      <c r="E48" s="25"/>
      <c r="F48" s="25"/>
      <c r="G48" s="61"/>
      <c r="H48" s="552"/>
      <c r="I48" s="153"/>
      <c r="J48" s="253"/>
      <c r="K48" s="46"/>
      <c r="L48" s="46"/>
      <c r="M48" s="46"/>
    </row>
    <row r="49" spans="1:13" s="7" customFormat="1" ht="12.95">
      <c r="A49" s="555" t="s">
        <v>151</v>
      </c>
      <c r="B49" s="47" t="s">
        <v>262</v>
      </c>
      <c r="C49" s="475"/>
      <c r="D49" s="25"/>
      <c r="E49" s="25"/>
      <c r="F49" s="25"/>
      <c r="G49" s="61"/>
      <c r="H49" s="552" t="s">
        <v>229</v>
      </c>
      <c r="I49" s="153"/>
      <c r="J49" s="253"/>
      <c r="K49" s="46"/>
      <c r="L49" s="46"/>
      <c r="M49" s="46"/>
    </row>
    <row r="50" spans="1:13" s="7" customFormat="1" ht="12.95">
      <c r="A50" s="555" t="s">
        <v>154</v>
      </c>
      <c r="B50" s="47" t="s">
        <v>263</v>
      </c>
      <c r="C50" s="475"/>
      <c r="D50" s="25"/>
      <c r="E50" s="25"/>
      <c r="F50" s="25"/>
      <c r="G50" s="61"/>
      <c r="H50" s="552" t="s">
        <v>79</v>
      </c>
      <c r="I50" s="153"/>
      <c r="J50" s="253"/>
      <c r="K50" s="46"/>
      <c r="L50" s="46"/>
      <c r="M50" s="46"/>
    </row>
    <row r="51" spans="1:13" s="7" customFormat="1" ht="12.95">
      <c r="A51" s="555" t="s">
        <v>158</v>
      </c>
      <c r="B51" s="47" t="s">
        <v>264</v>
      </c>
      <c r="C51" s="475"/>
      <c r="D51" s="25"/>
      <c r="E51" s="25"/>
      <c r="F51" s="25"/>
      <c r="G51" s="61"/>
      <c r="H51" s="552" t="s">
        <v>79</v>
      </c>
      <c r="I51" s="153"/>
      <c r="J51" s="253"/>
      <c r="K51" s="46"/>
      <c r="L51" s="46"/>
      <c r="M51" s="46"/>
    </row>
    <row r="52" spans="1:13" s="7" customFormat="1" ht="12.95">
      <c r="A52" s="557"/>
      <c r="B52" s="441"/>
      <c r="C52" s="486"/>
      <c r="D52" s="28"/>
      <c r="E52" s="28"/>
      <c r="F52" s="28"/>
      <c r="G52" s="248"/>
      <c r="H52" s="558"/>
      <c r="I52" s="307"/>
      <c r="J52" s="253"/>
      <c r="K52" s="46"/>
      <c r="L52" s="46"/>
      <c r="M52" s="46"/>
    </row>
    <row r="53" spans="1:13" s="7" customFormat="1" ht="12.95">
      <c r="A53" s="306">
        <v>-3</v>
      </c>
      <c r="B53" s="17" t="s">
        <v>266</v>
      </c>
      <c r="C53" s="495"/>
      <c r="D53" s="476"/>
      <c r="E53" s="476"/>
      <c r="F53" s="476"/>
      <c r="G53" s="559"/>
      <c r="H53" s="560"/>
      <c r="I53" s="561"/>
      <c r="J53" s="253"/>
      <c r="K53" s="46"/>
      <c r="L53" s="46"/>
      <c r="M53" s="46"/>
    </row>
    <row r="54" spans="1:13" s="7" customFormat="1">
      <c r="A54" s="555" t="s">
        <v>151</v>
      </c>
      <c r="B54" s="47" t="s">
        <v>262</v>
      </c>
      <c r="C54" s="475"/>
      <c r="D54" s="47"/>
      <c r="E54" s="47"/>
      <c r="F54" s="47"/>
      <c r="G54" s="562"/>
      <c r="H54" s="552">
        <v>30</v>
      </c>
      <c r="I54" s="556"/>
      <c r="J54" s="253"/>
      <c r="K54" s="46"/>
      <c r="L54" s="46"/>
      <c r="M54" s="46"/>
    </row>
    <row r="55" spans="1:13" s="7" customFormat="1">
      <c r="A55" s="555" t="s">
        <v>154</v>
      </c>
      <c r="B55" s="47" t="s">
        <v>263</v>
      </c>
      <c r="C55" s="475"/>
      <c r="D55" s="47"/>
      <c r="E55" s="47"/>
      <c r="F55" s="47"/>
      <c r="G55" s="562"/>
      <c r="H55" s="552" t="s">
        <v>79</v>
      </c>
      <c r="I55" s="556"/>
      <c r="J55" s="253"/>
      <c r="K55" s="46"/>
      <c r="L55" s="46"/>
      <c r="M55" s="46"/>
    </row>
    <row r="56" spans="1:13" s="7" customFormat="1">
      <c r="A56" s="555" t="s">
        <v>158</v>
      </c>
      <c r="B56" s="47" t="s">
        <v>264</v>
      </c>
      <c r="C56" s="475"/>
      <c r="D56" s="47"/>
      <c r="E56" s="47"/>
      <c r="F56" s="47"/>
      <c r="G56" s="562"/>
      <c r="H56" s="552" t="s">
        <v>79</v>
      </c>
      <c r="I56" s="556"/>
      <c r="J56" s="253"/>
      <c r="K56" s="46"/>
      <c r="L56" s="46"/>
      <c r="M56" s="46"/>
    </row>
    <row r="57" spans="1:13" s="7" customFormat="1" ht="16.7" customHeight="1">
      <c r="A57" s="555"/>
      <c r="B57" s="47"/>
      <c r="C57" s="475"/>
      <c r="D57" s="47"/>
      <c r="E57" s="47"/>
      <c r="F57" s="47"/>
      <c r="G57" s="47"/>
      <c r="H57" s="552"/>
      <c r="I57" s="556"/>
      <c r="J57" s="253"/>
      <c r="K57" s="46"/>
      <c r="L57" s="46"/>
      <c r="M57" s="46"/>
    </row>
    <row r="58" spans="1:13" s="7" customFormat="1" ht="15" customHeight="1">
      <c r="A58" s="60">
        <v>-4</v>
      </c>
      <c r="B58" s="9" t="s">
        <v>267</v>
      </c>
      <c r="C58" s="475"/>
      <c r="D58" s="47"/>
      <c r="E58" s="47"/>
      <c r="F58" s="47"/>
      <c r="G58" s="47"/>
      <c r="H58" s="552"/>
      <c r="I58" s="556"/>
      <c r="J58" s="253"/>
      <c r="K58" s="46"/>
      <c r="L58" s="46"/>
      <c r="M58" s="46"/>
    </row>
    <row r="59" spans="1:13" s="7" customFormat="1" ht="15" customHeight="1">
      <c r="A59" s="555" t="s">
        <v>151</v>
      </c>
      <c r="B59" s="47" t="s">
        <v>262</v>
      </c>
      <c r="C59" s="475"/>
      <c r="D59" s="47"/>
      <c r="E59" s="47"/>
      <c r="F59" s="47"/>
      <c r="G59" s="47"/>
      <c r="H59" s="552">
        <v>30</v>
      </c>
      <c r="I59" s="556"/>
      <c r="J59" s="253"/>
      <c r="K59" s="46"/>
      <c r="L59" s="46"/>
      <c r="M59" s="46"/>
    </row>
    <row r="60" spans="1:13" s="7" customFormat="1" ht="15" customHeight="1">
      <c r="A60" s="555" t="s">
        <v>154</v>
      </c>
      <c r="B60" s="47" t="s">
        <v>263</v>
      </c>
      <c r="C60" s="475"/>
      <c r="D60" s="47"/>
      <c r="E60" s="47"/>
      <c r="F60" s="47"/>
      <c r="G60" s="47"/>
      <c r="H60" s="552" t="s">
        <v>79</v>
      </c>
      <c r="I60" s="556"/>
      <c r="J60" s="253"/>
      <c r="K60" s="46"/>
      <c r="L60" s="46"/>
      <c r="M60" s="46"/>
    </row>
    <row r="61" spans="1:13" s="7" customFormat="1" ht="15" customHeight="1">
      <c r="A61" s="555" t="s">
        <v>158</v>
      </c>
      <c r="B61" s="47" t="s">
        <v>264</v>
      </c>
      <c r="C61" s="475"/>
      <c r="D61" s="47"/>
      <c r="E61" s="47"/>
      <c r="F61" s="47"/>
      <c r="G61" s="47"/>
      <c r="H61" s="552" t="s">
        <v>268</v>
      </c>
      <c r="I61" s="556"/>
      <c r="J61" s="253"/>
      <c r="K61" s="46"/>
      <c r="L61" s="46"/>
      <c r="M61" s="46"/>
    </row>
    <row r="62" spans="1:13" s="7" customFormat="1" ht="14.45" customHeight="1">
      <c r="A62" s="555"/>
      <c r="B62" s="47"/>
      <c r="C62" s="475"/>
      <c r="D62" s="47"/>
      <c r="E62" s="47"/>
      <c r="F62" s="47"/>
      <c r="G62" s="47"/>
      <c r="H62" s="563"/>
      <c r="I62" s="564"/>
      <c r="J62" s="253"/>
      <c r="K62" s="46"/>
      <c r="L62" s="46"/>
      <c r="M62" s="46"/>
    </row>
    <row r="63" spans="1:13" s="7" customFormat="1" ht="12.95">
      <c r="A63" s="60">
        <v>-5</v>
      </c>
      <c r="B63" s="9" t="s">
        <v>269</v>
      </c>
      <c r="C63" s="475"/>
      <c r="D63" s="9"/>
      <c r="E63" s="9"/>
      <c r="F63" s="9"/>
      <c r="G63" s="9"/>
      <c r="H63" s="552"/>
      <c r="I63" s="556"/>
      <c r="J63" s="253"/>
      <c r="K63" s="46"/>
      <c r="L63" s="46"/>
      <c r="M63" s="46"/>
    </row>
    <row r="64" spans="1:13" s="7" customFormat="1" ht="12.95">
      <c r="A64" s="60"/>
      <c r="B64" s="41" t="s">
        <v>270</v>
      </c>
      <c r="C64" s="475"/>
      <c r="D64" s="47"/>
      <c r="E64" s="47"/>
      <c r="F64" s="47"/>
      <c r="G64" s="47"/>
      <c r="H64" s="565" t="s">
        <v>271</v>
      </c>
      <c r="I64" s="566"/>
      <c r="J64" s="253"/>
      <c r="K64" s="46"/>
      <c r="L64" s="46"/>
      <c r="M64" s="46"/>
    </row>
    <row r="65" spans="1:13" s="7" customFormat="1" ht="12.95">
      <c r="A65" s="60"/>
      <c r="B65" s="41" t="s">
        <v>272</v>
      </c>
      <c r="C65" s="475"/>
      <c r="D65" s="47"/>
      <c r="E65" s="47"/>
      <c r="F65" s="47"/>
      <c r="G65" s="47"/>
      <c r="H65" s="565" t="s">
        <v>271</v>
      </c>
      <c r="I65" s="566"/>
      <c r="J65" s="253"/>
      <c r="K65" s="46"/>
      <c r="L65" s="46"/>
      <c r="M65" s="46"/>
    </row>
    <row r="66" spans="1:13" s="7" customFormat="1">
      <c r="A66" s="201" t="s">
        <v>151</v>
      </c>
      <c r="B66" s="82" t="s">
        <v>273</v>
      </c>
      <c r="C66" s="475"/>
      <c r="D66" s="47"/>
      <c r="E66" s="47"/>
      <c r="F66" s="47"/>
      <c r="G66" s="47"/>
      <c r="H66" s="565" t="s">
        <v>274</v>
      </c>
      <c r="I66" s="566"/>
      <c r="J66" s="253"/>
      <c r="K66" s="46"/>
      <c r="L66" s="46"/>
      <c r="M66" s="46"/>
    </row>
    <row r="67" spans="1:13" s="7" customFormat="1">
      <c r="A67" s="201" t="s">
        <v>151</v>
      </c>
      <c r="B67" s="82" t="s">
        <v>275</v>
      </c>
      <c r="C67" s="475"/>
      <c r="D67" s="47"/>
      <c r="E67" s="47"/>
      <c r="F67" s="47"/>
      <c r="G67" s="47"/>
      <c r="H67" s="552">
        <v>120</v>
      </c>
      <c r="I67" s="556"/>
      <c r="J67" s="253"/>
      <c r="K67" s="46"/>
      <c r="L67" s="46"/>
      <c r="M67" s="46"/>
    </row>
    <row r="68" spans="1:13" s="7" customFormat="1" ht="12.95">
      <c r="A68" s="555" t="s">
        <v>154</v>
      </c>
      <c r="B68" s="47" t="s">
        <v>263</v>
      </c>
      <c r="C68" s="475"/>
      <c r="D68" s="47"/>
      <c r="E68" s="47"/>
      <c r="F68" s="47"/>
      <c r="G68" s="47"/>
      <c r="H68" s="552" t="s">
        <v>79</v>
      </c>
      <c r="I68" s="153"/>
      <c r="J68" s="253"/>
      <c r="K68" s="46"/>
      <c r="L68" s="46"/>
      <c r="M68" s="46"/>
    </row>
    <row r="69" spans="1:13" s="7" customFormat="1" ht="12.95">
      <c r="A69" s="555" t="s">
        <v>158</v>
      </c>
      <c r="B69" s="47" t="s">
        <v>264</v>
      </c>
      <c r="C69" s="475"/>
      <c r="D69" s="47"/>
      <c r="E69" s="47"/>
      <c r="F69" s="47"/>
      <c r="G69" s="47"/>
      <c r="H69" s="552" t="s">
        <v>79</v>
      </c>
      <c r="I69" s="153"/>
      <c r="J69" s="253"/>
      <c r="K69" s="46"/>
      <c r="L69" s="46"/>
      <c r="M69" s="46"/>
    </row>
    <row r="70" spans="1:13" s="7" customFormat="1">
      <c r="A70" s="555"/>
      <c r="B70" s="47"/>
      <c r="C70" s="475"/>
      <c r="D70" s="47"/>
      <c r="E70" s="47"/>
      <c r="F70" s="47"/>
      <c r="G70" s="47"/>
      <c r="H70" s="552"/>
      <c r="I70" s="556"/>
      <c r="J70" s="253"/>
      <c r="K70" s="46"/>
      <c r="L70" s="46"/>
      <c r="M70" s="46"/>
    </row>
    <row r="71" spans="1:13" s="7" customFormat="1" ht="15.6" customHeight="1">
      <c r="A71" s="60">
        <v>-6</v>
      </c>
      <c r="B71" s="9" t="s">
        <v>276</v>
      </c>
      <c r="C71" s="475"/>
      <c r="D71" s="47"/>
      <c r="E71" s="47"/>
      <c r="F71" s="47"/>
      <c r="G71" s="47"/>
      <c r="H71" s="552"/>
      <c r="I71" s="556"/>
      <c r="J71" s="253"/>
      <c r="K71" s="46"/>
      <c r="L71" s="46"/>
      <c r="M71" s="46"/>
    </row>
    <row r="72" spans="1:13" s="7" customFormat="1" ht="12.95">
      <c r="A72" s="555" t="s">
        <v>151</v>
      </c>
      <c r="B72" s="47" t="s">
        <v>262</v>
      </c>
      <c r="C72" s="475"/>
      <c r="D72" s="47"/>
      <c r="E72" s="47"/>
      <c r="F72" s="47"/>
      <c r="G72" s="47"/>
      <c r="H72" s="552">
        <v>120</v>
      </c>
      <c r="I72" s="154"/>
      <c r="J72" s="253"/>
      <c r="K72" s="46"/>
      <c r="L72" s="46"/>
      <c r="M72" s="46"/>
    </row>
    <row r="73" spans="1:13" s="7" customFormat="1">
      <c r="A73" s="555" t="s">
        <v>154</v>
      </c>
      <c r="B73" s="47" t="s">
        <v>263</v>
      </c>
      <c r="C73" s="475"/>
      <c r="D73" s="47"/>
      <c r="E73" s="47"/>
      <c r="F73" s="47"/>
      <c r="G73" s="47"/>
      <c r="H73" s="552" t="s">
        <v>79</v>
      </c>
      <c r="I73" s="556"/>
      <c r="J73" s="253"/>
      <c r="K73" s="46"/>
      <c r="L73" s="46"/>
      <c r="M73" s="46"/>
    </row>
    <row r="74" spans="1:13" s="7" customFormat="1" ht="12.95">
      <c r="A74" s="555" t="s">
        <v>158</v>
      </c>
      <c r="B74" s="47" t="s">
        <v>264</v>
      </c>
      <c r="C74" s="475"/>
      <c r="D74" s="47"/>
      <c r="E74" s="47"/>
      <c r="F74" s="47"/>
      <c r="G74" s="47"/>
      <c r="H74" s="552" t="s">
        <v>79</v>
      </c>
      <c r="I74" s="153"/>
      <c r="J74" s="253"/>
      <c r="K74" s="46"/>
      <c r="L74" s="46"/>
      <c r="M74" s="46"/>
    </row>
    <row r="75" spans="1:13" s="86" customFormat="1">
      <c r="A75" s="201"/>
      <c r="B75" s="82"/>
      <c r="D75" s="82"/>
      <c r="E75" s="82"/>
      <c r="F75" s="82"/>
      <c r="G75" s="82"/>
      <c r="H75" s="202"/>
      <c r="I75" s="203"/>
      <c r="J75" s="253"/>
      <c r="K75" s="46"/>
      <c r="L75" s="46"/>
      <c r="M75" s="46"/>
    </row>
    <row r="76" spans="1:13" s="86" customFormat="1" ht="15.6" customHeight="1">
      <c r="A76" s="204">
        <v>-7</v>
      </c>
      <c r="B76" s="85" t="s">
        <v>277</v>
      </c>
      <c r="D76" s="82"/>
      <c r="E76" s="82"/>
      <c r="F76" s="82"/>
      <c r="G76" s="82"/>
      <c r="H76" s="202"/>
      <c r="I76" s="203"/>
      <c r="J76" s="253"/>
      <c r="K76" s="46"/>
      <c r="L76" s="46"/>
      <c r="M76" s="46"/>
    </row>
    <row r="77" spans="1:13" s="86" customFormat="1">
      <c r="A77" s="201" t="s">
        <v>151</v>
      </c>
      <c r="B77" s="82" t="s">
        <v>262</v>
      </c>
      <c r="D77" s="82"/>
      <c r="E77" s="82"/>
      <c r="F77" s="82"/>
      <c r="G77" s="82"/>
      <c r="H77" s="202" t="s">
        <v>229</v>
      </c>
      <c r="I77" s="203"/>
      <c r="J77" s="253"/>
      <c r="K77" s="46"/>
      <c r="L77" s="46"/>
      <c r="M77" s="46"/>
    </row>
    <row r="78" spans="1:13" s="86" customFormat="1">
      <c r="A78" s="201" t="s">
        <v>154</v>
      </c>
      <c r="B78" s="82" t="s">
        <v>263</v>
      </c>
      <c r="D78" s="82"/>
      <c r="E78" s="82"/>
      <c r="F78" s="82"/>
      <c r="G78" s="82"/>
      <c r="H78" s="202" t="s">
        <v>79</v>
      </c>
      <c r="I78" s="203"/>
      <c r="J78" s="253"/>
      <c r="K78" s="46"/>
      <c r="L78" s="46"/>
      <c r="M78" s="46"/>
    </row>
    <row r="79" spans="1:13" s="7" customFormat="1">
      <c r="A79" s="555" t="s">
        <v>158</v>
      </c>
      <c r="B79" s="47" t="s">
        <v>264</v>
      </c>
      <c r="C79" s="475"/>
      <c r="D79" s="47"/>
      <c r="E79" s="47"/>
      <c r="F79" s="47"/>
      <c r="G79" s="47"/>
      <c r="H79" s="552" t="s">
        <v>79</v>
      </c>
      <c r="I79" s="556"/>
      <c r="J79" s="253"/>
      <c r="K79" s="46"/>
      <c r="L79" s="46"/>
      <c r="M79" s="46"/>
    </row>
    <row r="80" spans="1:13" s="7" customFormat="1" ht="12.95">
      <c r="A80" s="567"/>
      <c r="B80" s="477"/>
      <c r="C80" s="488"/>
      <c r="D80" s="477"/>
      <c r="E80" s="477"/>
      <c r="F80" s="477"/>
      <c r="G80" s="477"/>
      <c r="H80" s="155"/>
      <c r="I80" s="568"/>
      <c r="J80" s="253"/>
      <c r="K80" s="46"/>
      <c r="L80" s="46"/>
      <c r="M80" s="46"/>
    </row>
    <row r="81" spans="1:18" s="7" customFormat="1" ht="12.95">
      <c r="A81" s="77">
        <v>7</v>
      </c>
      <c r="B81" s="78" t="s">
        <v>196</v>
      </c>
      <c r="C81" s="569"/>
      <c r="D81" s="78"/>
      <c r="E81" s="78"/>
      <c r="F81" s="78"/>
      <c r="G81" s="78"/>
      <c r="H81" s="570" t="s">
        <v>240</v>
      </c>
      <c r="I81" s="156"/>
      <c r="J81" s="253"/>
      <c r="K81" s="46"/>
      <c r="L81" s="46"/>
      <c r="M81" s="46"/>
      <c r="N81" s="475"/>
      <c r="O81" s="475"/>
      <c r="P81" s="475"/>
      <c r="Q81" s="475"/>
      <c r="R81" s="475"/>
    </row>
    <row r="82" spans="1:18" s="7" customFormat="1" ht="12.95">
      <c r="A82" s="571"/>
      <c r="B82" s="47"/>
      <c r="C82" s="475"/>
      <c r="D82" s="47"/>
      <c r="E82" s="47"/>
      <c r="F82" s="47"/>
      <c r="G82" s="47"/>
      <c r="H82" s="62"/>
      <c r="I82" s="545"/>
      <c r="J82" s="46"/>
      <c r="K82" s="46"/>
      <c r="L82" s="46"/>
      <c r="M82" s="46"/>
      <c r="N82" s="475"/>
      <c r="O82" s="475"/>
      <c r="P82" s="475"/>
      <c r="Q82" s="475"/>
      <c r="R82" s="475"/>
    </row>
    <row r="83" spans="1:18" s="7" customFormat="1" ht="12.95">
      <c r="A83" s="9" t="s">
        <v>60</v>
      </c>
      <c r="B83" s="514"/>
      <c r="C83" s="46"/>
      <c r="D83" s="46"/>
      <c r="E83" s="46"/>
      <c r="F83" s="46"/>
      <c r="G83" s="46"/>
      <c r="H83" s="46"/>
      <c r="I83" s="46"/>
      <c r="J83" s="46"/>
      <c r="K83" s="46"/>
      <c r="L83" s="46"/>
      <c r="M83" s="46"/>
      <c r="N83" s="46"/>
      <c r="O83" s="46"/>
      <c r="P83" s="475"/>
      <c r="Q83" s="475"/>
      <c r="R83" s="475"/>
    </row>
    <row r="84" spans="1:18" s="6" customFormat="1" ht="14.45" customHeight="1">
      <c r="A84" s="47">
        <v>1</v>
      </c>
      <c r="B84" s="478" t="s">
        <v>61</v>
      </c>
      <c r="C84" s="478"/>
      <c r="D84" s="478"/>
      <c r="E84" s="478"/>
      <c r="F84" s="478"/>
      <c r="G84" s="478"/>
      <c r="H84" s="478"/>
      <c r="I84" s="478"/>
      <c r="J84" s="46"/>
      <c r="K84" s="46"/>
      <c r="L84" s="46"/>
      <c r="M84" s="46"/>
      <c r="N84" s="478"/>
      <c r="O84" s="478"/>
    </row>
    <row r="85" spans="1:18" s="6" customFormat="1">
      <c r="A85" s="47">
        <v>2</v>
      </c>
      <c r="B85" s="47" t="s">
        <v>121</v>
      </c>
      <c r="J85" s="46"/>
      <c r="K85" s="46"/>
      <c r="L85" s="46"/>
      <c r="M85" s="46"/>
    </row>
    <row r="86" spans="1:18" s="6" customFormat="1">
      <c r="A86" s="47">
        <v>3</v>
      </c>
      <c r="B86" s="47" t="s">
        <v>122</v>
      </c>
      <c r="J86" s="46"/>
      <c r="K86" s="46"/>
      <c r="L86" s="46"/>
      <c r="M86" s="46"/>
    </row>
    <row r="87" spans="1:18" s="6" customFormat="1">
      <c r="A87" s="47">
        <v>4</v>
      </c>
      <c r="B87" s="514" t="s">
        <v>278</v>
      </c>
      <c r="J87" s="46"/>
      <c r="K87" s="46"/>
      <c r="L87" s="46"/>
      <c r="M87" s="46"/>
    </row>
    <row r="88" spans="1:18" s="6" customFormat="1">
      <c r="A88" s="47">
        <v>5</v>
      </c>
      <c r="B88" s="514" t="s">
        <v>279</v>
      </c>
      <c r="J88" s="46"/>
      <c r="K88" s="46"/>
      <c r="L88" s="46"/>
      <c r="M88" s="46"/>
    </row>
    <row r="89" spans="1:18" s="6" customFormat="1">
      <c r="A89" s="47">
        <v>6</v>
      </c>
      <c r="B89" s="514" t="s">
        <v>280</v>
      </c>
      <c r="J89" s="46"/>
      <c r="K89" s="46"/>
      <c r="L89" s="46"/>
      <c r="M89" s="46"/>
    </row>
    <row r="90" spans="1:18">
      <c r="A90" s="47">
        <v>7</v>
      </c>
      <c r="B90" s="47" t="s">
        <v>281</v>
      </c>
      <c r="C90" s="47"/>
      <c r="D90" s="47"/>
      <c r="E90" s="47"/>
      <c r="F90" s="47"/>
      <c r="G90" s="47"/>
      <c r="H90" s="47"/>
      <c r="I90" s="47"/>
      <c r="N90" s="47"/>
      <c r="O90" s="47"/>
      <c r="P90" s="6"/>
      <c r="Q90" s="6"/>
      <c r="R90" s="6"/>
    </row>
  </sheetData>
  <mergeCells count="18">
    <mergeCell ref="D22:F22"/>
    <mergeCell ref="B22:C22"/>
    <mergeCell ref="F25:G26"/>
    <mergeCell ref="E25:E26"/>
    <mergeCell ref="D25:D26"/>
    <mergeCell ref="B25:C26"/>
    <mergeCell ref="G22:I22"/>
    <mergeCell ref="B23:K23"/>
    <mergeCell ref="K20:K21"/>
    <mergeCell ref="J20:J21"/>
    <mergeCell ref="G20:I21"/>
    <mergeCell ref="D20:F21"/>
    <mergeCell ref="B20:C21"/>
    <mergeCell ref="H62:I62"/>
    <mergeCell ref="B27:C27"/>
    <mergeCell ref="F27:G27"/>
    <mergeCell ref="H25:I26"/>
    <mergeCell ref="H27:I27"/>
  </mergeCells>
  <phoneticPr fontId="12" type="noConversion"/>
  <pageMargins left="0.23622047244094491" right="0.23622047244094491" top="0.74803149606299213" bottom="0.74803149606299213" header="0.31496062992125984" footer="0.31496062992125984"/>
  <pageSetup paperSize="9" scale="60" orientation="landscape" r:id="rId1"/>
  <headerFooter alignWithMargins="0">
    <oddHeader>&amp;C&amp;"Arial,Bold"PLACEMENT SLIP
&amp;"Arial,Regular"&amp;8&amp;A&amp;R&amp;G</oddHeader>
    <oddFooter>&amp;LProceed cover
_____________________
Client Sign / Date&amp;C&amp;8This is to effect cover, not a contract. The signed qtn slip (if applic) and the policy form the basis of the contract.&amp;10
&amp;6E &amp;&amp; OE&amp;RConfirmed
_____________________
Insurer Sign / Date</oddFooter>
  </headerFooter>
  <rowBreaks count="1" manualBreakCount="1">
    <brk id="52" max="15"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EDC19-4A9C-4368-98B5-9C8E6567B271}">
  <sheetPr codeName="Sheet7"/>
  <dimension ref="A1:R70"/>
  <sheetViews>
    <sheetView view="pageBreakPreview" zoomScale="70" zoomScaleNormal="70" zoomScaleSheetLayoutView="70" zoomScalePageLayoutView="85" workbookViewId="0">
      <selection sqref="A1:O1"/>
    </sheetView>
  </sheetViews>
  <sheetFormatPr defaultColWidth="9.140625" defaultRowHeight="12.6"/>
  <cols>
    <col min="1" max="1" width="8.85546875" style="44" customWidth="1"/>
    <col min="2" max="2" width="27.85546875" style="8" customWidth="1"/>
    <col min="3" max="3" width="9.5703125" style="44" customWidth="1"/>
    <col min="4" max="5" width="10.85546875" style="44" customWidth="1"/>
    <col min="6" max="6" width="19.7109375" style="44" customWidth="1"/>
    <col min="7" max="7" width="13.42578125" style="44" customWidth="1"/>
    <col min="8" max="15" width="10.85546875" style="44" customWidth="1"/>
    <col min="16" max="17" width="10.85546875" style="46" customWidth="1"/>
    <col min="18" max="16384" width="9.140625" style="46"/>
  </cols>
  <sheetData>
    <row r="1" spans="1:16" ht="57" customHeight="1">
      <c r="A1" s="352" t="s">
        <v>282</v>
      </c>
      <c r="B1" s="353"/>
      <c r="C1" s="353"/>
      <c r="D1" s="353"/>
      <c r="E1" s="353"/>
      <c r="F1" s="353"/>
      <c r="G1" s="353"/>
      <c r="H1" s="353"/>
      <c r="I1" s="353"/>
      <c r="J1" s="353"/>
      <c r="K1" s="353"/>
      <c r="L1" s="353"/>
      <c r="M1" s="353"/>
      <c r="N1" s="353"/>
      <c r="O1" s="353"/>
    </row>
    <row r="2" spans="1:16" ht="15" customHeight="1">
      <c r="A2" s="63"/>
      <c r="B2" s="65"/>
      <c r="C2" s="47"/>
      <c r="D2" s="47"/>
      <c r="E2" s="47"/>
      <c r="F2" s="64"/>
      <c r="G2" s="64"/>
      <c r="H2" s="64"/>
      <c r="I2" s="64"/>
      <c r="J2" s="47"/>
      <c r="K2" s="47"/>
      <c r="L2" s="47"/>
      <c r="M2" s="47"/>
      <c r="N2" s="47"/>
      <c r="O2" s="47"/>
    </row>
    <row r="3" spans="1:16" s="5" customFormat="1" ht="12.75" customHeight="1">
      <c r="A3" s="9" t="s">
        <v>1</v>
      </c>
      <c r="B3" s="9"/>
      <c r="C3" s="47"/>
      <c r="D3" s="25"/>
      <c r="E3" s="47"/>
      <c r="F3" s="47"/>
      <c r="G3" s="47"/>
      <c r="H3" s="47"/>
      <c r="I3" s="47"/>
      <c r="J3" s="84"/>
      <c r="K3" s="84"/>
      <c r="L3" s="84"/>
      <c r="M3" s="84"/>
      <c r="N3" s="84"/>
      <c r="O3" s="84"/>
      <c r="P3" s="84"/>
    </row>
    <row r="4" spans="1:16" s="5" customFormat="1" ht="12.75" customHeight="1">
      <c r="A4" s="9" t="s">
        <v>2</v>
      </c>
      <c r="B4" s="9"/>
      <c r="C4" s="47" t="s">
        <v>3</v>
      </c>
      <c r="D4" s="25"/>
      <c r="E4" s="47"/>
      <c r="F4" s="47"/>
      <c r="G4" s="47"/>
      <c r="H4" s="47"/>
      <c r="I4" s="47"/>
      <c r="J4" s="84"/>
      <c r="K4" s="84"/>
      <c r="L4" s="84"/>
      <c r="M4" s="84"/>
      <c r="N4" s="84"/>
      <c r="O4" s="84"/>
      <c r="P4" s="84"/>
    </row>
    <row r="5" spans="1:16" s="5" customFormat="1" ht="12.75" customHeight="1">
      <c r="A5" s="9" t="s">
        <v>4</v>
      </c>
      <c r="B5" s="9"/>
      <c r="C5" s="47" t="s">
        <v>3</v>
      </c>
      <c r="D5" s="25"/>
      <c r="E5" s="47"/>
      <c r="F5" s="47"/>
      <c r="G5" s="47"/>
      <c r="H5" s="47"/>
      <c r="I5" s="47"/>
      <c r="J5" s="84"/>
      <c r="K5" s="84"/>
      <c r="L5" s="84"/>
      <c r="M5" s="84"/>
      <c r="N5" s="84"/>
      <c r="O5" s="84"/>
      <c r="P5" s="84"/>
    </row>
    <row r="6" spans="1:16" s="5" customFormat="1" ht="12.75" customHeight="1">
      <c r="A6" s="9" t="s">
        <v>5</v>
      </c>
      <c r="B6" s="9"/>
      <c r="C6" s="47" t="s">
        <v>6</v>
      </c>
      <c r="D6" s="25"/>
      <c r="E6" s="47"/>
      <c r="F6" s="47"/>
      <c r="G6" s="47"/>
      <c r="H6" s="47"/>
      <c r="I6" s="47"/>
      <c r="J6" s="84"/>
      <c r="K6" s="84"/>
      <c r="L6" s="84"/>
      <c r="M6" s="84"/>
      <c r="N6" s="84"/>
      <c r="O6" s="84"/>
      <c r="P6" s="84"/>
    </row>
    <row r="7" spans="1:16" s="5" customFormat="1" ht="12.75" customHeight="1">
      <c r="A7" s="9" t="s">
        <v>7</v>
      </c>
      <c r="B7" s="9"/>
      <c r="C7" s="47" t="s">
        <v>8</v>
      </c>
      <c r="D7" s="25"/>
      <c r="E7" s="47"/>
      <c r="F7" s="47"/>
      <c r="G7" s="47"/>
      <c r="H7" s="47"/>
      <c r="I7" s="47"/>
      <c r="J7" s="84"/>
      <c r="K7" s="84"/>
      <c r="L7" s="84"/>
      <c r="M7" s="84"/>
      <c r="N7" s="84"/>
      <c r="O7" s="84"/>
      <c r="P7" s="84"/>
    </row>
    <row r="8" spans="1:16" s="5" customFormat="1" ht="12.75" customHeight="1">
      <c r="A8" s="9" t="s">
        <v>9</v>
      </c>
      <c r="B8" s="9"/>
      <c r="C8" s="47" t="s">
        <v>10</v>
      </c>
      <c r="D8" s="47"/>
      <c r="E8" s="47"/>
      <c r="F8" s="47"/>
      <c r="G8" s="47"/>
      <c r="H8" s="47"/>
      <c r="I8" s="47"/>
      <c r="J8" s="84"/>
      <c r="K8" s="84"/>
      <c r="L8" s="84"/>
      <c r="M8" s="84"/>
      <c r="N8" s="84"/>
      <c r="O8" s="84"/>
      <c r="P8" s="84"/>
    </row>
    <row r="9" spans="1:16" s="5" customFormat="1" ht="12.75" customHeight="1">
      <c r="A9" s="9" t="s">
        <v>11</v>
      </c>
      <c r="B9" s="9"/>
      <c r="C9" s="47" t="s">
        <v>12</v>
      </c>
      <c r="D9" s="47"/>
      <c r="E9" s="47"/>
      <c r="F9" s="47"/>
      <c r="G9" s="47"/>
      <c r="H9" s="47"/>
      <c r="I9" s="47"/>
      <c r="J9" s="84"/>
      <c r="K9" s="84"/>
      <c r="L9" s="84"/>
      <c r="M9" s="84"/>
      <c r="N9" s="84"/>
      <c r="O9" s="84"/>
      <c r="P9" s="84"/>
    </row>
    <row r="10" spans="1:16" s="5" customFormat="1" ht="12.75" customHeight="1">
      <c r="A10" s="9" t="s">
        <v>13</v>
      </c>
      <c r="B10" s="9"/>
      <c r="C10" s="47"/>
      <c r="D10" s="47"/>
      <c r="E10" s="47"/>
      <c r="F10" s="47"/>
      <c r="G10" s="47"/>
      <c r="H10" s="47"/>
      <c r="I10" s="47"/>
      <c r="J10" s="84"/>
      <c r="K10" s="84"/>
      <c r="L10" s="84"/>
      <c r="M10" s="84"/>
      <c r="N10" s="84"/>
      <c r="O10" s="84"/>
      <c r="P10" s="84"/>
    </row>
    <row r="11" spans="1:16" s="5" customFormat="1" ht="12.75" customHeight="1">
      <c r="A11" s="9" t="s">
        <v>14</v>
      </c>
      <c r="B11" s="9"/>
      <c r="C11" s="416">
        <v>50011653</v>
      </c>
      <c r="D11" s="47"/>
      <c r="E11" s="47"/>
      <c r="F11" s="47"/>
      <c r="G11" s="47"/>
      <c r="H11" s="47"/>
      <c r="I11" s="47"/>
      <c r="J11" s="84"/>
      <c r="K11" s="84"/>
      <c r="L11" s="84"/>
      <c r="M11" s="84"/>
      <c r="N11" s="84"/>
      <c r="O11" s="84"/>
      <c r="P11" s="84"/>
    </row>
    <row r="12" spans="1:16" s="5" customFormat="1" ht="12.75" customHeight="1">
      <c r="A12" s="9"/>
      <c r="B12" s="9"/>
      <c r="C12" s="47"/>
      <c r="D12" s="47"/>
      <c r="E12" s="47"/>
      <c r="F12" s="47"/>
      <c r="G12" s="47"/>
      <c r="H12" s="47"/>
      <c r="I12" s="47"/>
      <c r="J12" s="84"/>
      <c r="K12" s="84"/>
      <c r="L12" s="84"/>
      <c r="M12" s="84"/>
      <c r="N12" s="84"/>
      <c r="O12" s="84"/>
      <c r="P12" s="84"/>
    </row>
    <row r="13" spans="1:16" s="5" customFormat="1" ht="12.95">
      <c r="A13" s="9" t="s">
        <v>15</v>
      </c>
      <c r="B13" s="9"/>
      <c r="C13" s="47" t="s">
        <v>16</v>
      </c>
      <c r="D13" s="9"/>
      <c r="E13" s="47"/>
      <c r="F13" s="47"/>
      <c r="G13" s="47"/>
      <c r="H13" s="47"/>
      <c r="I13" s="47"/>
      <c r="J13" s="46"/>
      <c r="K13" s="46"/>
      <c r="L13" s="46"/>
      <c r="M13" s="46"/>
      <c r="N13" s="46"/>
      <c r="O13" s="46"/>
      <c r="P13" s="46"/>
    </row>
    <row r="14" spans="1:16" s="5" customFormat="1" ht="12.95">
      <c r="A14" s="9" t="s">
        <v>17</v>
      </c>
      <c r="B14" s="9"/>
      <c r="C14" s="47" t="s">
        <v>18</v>
      </c>
      <c r="D14" s="9"/>
      <c r="E14" s="47"/>
      <c r="F14" s="47"/>
      <c r="G14" s="47"/>
      <c r="H14" s="47"/>
      <c r="I14" s="47"/>
      <c r="J14" s="46"/>
      <c r="K14" s="46"/>
      <c r="L14" s="46"/>
      <c r="M14" s="46"/>
      <c r="N14" s="46"/>
      <c r="O14" s="46"/>
      <c r="P14" s="46"/>
    </row>
    <row r="15" spans="1:16" s="5" customFormat="1" ht="12.95">
      <c r="A15" s="9" t="s">
        <v>19</v>
      </c>
      <c r="B15" s="9"/>
      <c r="C15" s="416" t="s">
        <v>20</v>
      </c>
      <c r="D15" s="47"/>
      <c r="E15" s="47"/>
      <c r="F15" s="47"/>
      <c r="G15" s="47"/>
      <c r="H15" s="47"/>
      <c r="I15" s="47"/>
      <c r="J15" s="46"/>
      <c r="K15" s="46"/>
      <c r="L15" s="46"/>
      <c r="M15" s="46"/>
      <c r="N15" s="46"/>
      <c r="O15" s="46"/>
      <c r="P15" s="46"/>
    </row>
    <row r="16" spans="1:16" s="5" customFormat="1" ht="12.75" customHeight="1">
      <c r="A16" s="9"/>
      <c r="B16" s="47"/>
      <c r="C16" s="47"/>
      <c r="D16" s="47"/>
      <c r="E16" s="47"/>
      <c r="F16" s="9"/>
      <c r="G16" s="47"/>
      <c r="H16" s="47"/>
      <c r="I16" s="47"/>
      <c r="J16" s="84"/>
      <c r="K16" s="84"/>
      <c r="L16" s="84"/>
      <c r="M16" s="84"/>
      <c r="N16" s="84"/>
      <c r="O16" s="84"/>
      <c r="P16" s="84"/>
    </row>
    <row r="17" spans="1:16" s="5" customFormat="1" ht="12.95">
      <c r="A17" s="9" t="s">
        <v>21</v>
      </c>
      <c r="B17" s="47"/>
      <c r="C17" s="47" t="s">
        <v>22</v>
      </c>
      <c r="D17" s="47"/>
      <c r="E17" s="47"/>
      <c r="F17" s="9"/>
      <c r="G17" s="47"/>
      <c r="H17" s="47"/>
      <c r="I17" s="47"/>
      <c r="J17" s="84"/>
      <c r="K17" s="84"/>
      <c r="L17" s="84"/>
      <c r="M17" s="84"/>
      <c r="N17" s="84"/>
      <c r="O17" s="84"/>
      <c r="P17" s="84"/>
    </row>
    <row r="18" spans="1:16" s="5" customFormat="1">
      <c r="A18" s="47"/>
      <c r="B18" s="47"/>
      <c r="C18" s="47"/>
      <c r="D18" s="47"/>
      <c r="E18" s="47"/>
      <c r="F18" s="47"/>
      <c r="G18" s="47"/>
      <c r="H18" s="47"/>
      <c r="I18" s="47"/>
      <c r="J18" s="47"/>
      <c r="K18" s="47"/>
      <c r="L18" s="47"/>
      <c r="M18" s="47"/>
      <c r="N18" s="47"/>
      <c r="O18" s="47"/>
      <c r="P18" s="46"/>
    </row>
    <row r="19" spans="1:16" s="5" customFormat="1" ht="12.95">
      <c r="A19" s="9" t="s">
        <v>23</v>
      </c>
      <c r="B19" s="47"/>
      <c r="C19" s="9"/>
      <c r="D19" s="9"/>
      <c r="E19" s="9"/>
      <c r="F19" s="47"/>
      <c r="G19" s="47"/>
      <c r="H19" s="47"/>
      <c r="I19" s="47"/>
      <c r="J19" s="47"/>
      <c r="K19" s="47"/>
      <c r="L19" s="47"/>
      <c r="M19" s="47"/>
      <c r="N19" s="47"/>
      <c r="O19" s="47"/>
      <c r="P19" s="46"/>
    </row>
    <row r="20" spans="1:16" s="8" customFormat="1">
      <c r="A20" s="47"/>
      <c r="B20" s="429" t="s">
        <v>24</v>
      </c>
      <c r="C20" s="430"/>
      <c r="D20" s="429" t="s">
        <v>25</v>
      </c>
      <c r="E20" s="450"/>
      <c r="F20" s="430"/>
      <c r="G20" s="429" t="s">
        <v>26</v>
      </c>
      <c r="H20" s="450"/>
      <c r="I20" s="430"/>
      <c r="J20" s="451" t="s">
        <v>124</v>
      </c>
      <c r="K20" s="451" t="s">
        <v>125</v>
      </c>
      <c r="L20" s="416"/>
      <c r="M20" s="416"/>
      <c r="N20" s="416"/>
      <c r="O20" s="47"/>
      <c r="P20" s="47"/>
    </row>
    <row r="21" spans="1:16" s="5" customFormat="1">
      <c r="A21" s="47"/>
      <c r="B21" s="433"/>
      <c r="C21" s="434"/>
      <c r="D21" s="433"/>
      <c r="E21" s="454"/>
      <c r="F21" s="434"/>
      <c r="G21" s="433"/>
      <c r="H21" s="454"/>
      <c r="I21" s="434"/>
      <c r="J21" s="455"/>
      <c r="K21" s="455"/>
      <c r="L21" s="428"/>
      <c r="M21" s="517"/>
      <c r="N21" s="46"/>
      <c r="O21" s="46"/>
      <c r="P21" s="46"/>
    </row>
    <row r="22" spans="1:16" s="5" customFormat="1">
      <c r="A22" s="47"/>
      <c r="B22" s="418" t="s">
        <v>30</v>
      </c>
      <c r="C22" s="419"/>
      <c r="D22" s="418" t="s">
        <v>242</v>
      </c>
      <c r="E22" s="452"/>
      <c r="F22" s="419"/>
      <c r="G22" s="572" t="s">
        <v>32</v>
      </c>
      <c r="H22" s="573"/>
      <c r="I22" s="574"/>
      <c r="J22" s="525">
        <v>1</v>
      </c>
      <c r="K22" s="421">
        <v>5</v>
      </c>
      <c r="L22" s="575"/>
      <c r="M22" s="575"/>
      <c r="N22" s="46"/>
      <c r="O22" s="46"/>
      <c r="P22" s="46"/>
    </row>
    <row r="23" spans="1:16" s="5" customFormat="1" ht="12.75" customHeight="1">
      <c r="A23" s="47"/>
      <c r="B23" s="354" t="s">
        <v>36</v>
      </c>
      <c r="C23" s="354"/>
      <c r="D23" s="354"/>
      <c r="E23" s="354"/>
      <c r="F23" s="354"/>
      <c r="G23" s="354"/>
      <c r="H23" s="354"/>
      <c r="I23" s="354"/>
      <c r="J23" s="354"/>
      <c r="K23" s="354"/>
      <c r="L23" s="354"/>
      <c r="M23" s="354"/>
      <c r="N23" s="354"/>
      <c r="O23" s="47"/>
      <c r="P23" s="46"/>
    </row>
    <row r="24" spans="1:16" s="8" customFormat="1" ht="12.75" customHeight="1">
      <c r="A24" s="9"/>
      <c r="B24" s="47"/>
      <c r="C24" s="428"/>
      <c r="D24" s="428"/>
      <c r="E24" s="428"/>
      <c r="F24" s="47"/>
      <c r="G24" s="47"/>
      <c r="H24" s="47"/>
      <c r="I24" s="47"/>
      <c r="J24" s="47"/>
      <c r="K24" s="47"/>
      <c r="L24" s="47"/>
      <c r="M24" s="47"/>
      <c r="N24" s="47"/>
      <c r="O24" s="47"/>
      <c r="P24" s="47"/>
    </row>
    <row r="25" spans="1:16" s="8" customFormat="1" ht="12.75" customHeight="1">
      <c r="A25" s="3" t="s">
        <v>37</v>
      </c>
      <c r="B25" s="429" t="s">
        <v>24</v>
      </c>
      <c r="C25" s="430"/>
      <c r="D25" s="451" t="s">
        <v>124</v>
      </c>
      <c r="E25" s="451" t="s">
        <v>243</v>
      </c>
      <c r="F25" s="429" t="s">
        <v>132</v>
      </c>
      <c r="G25" s="430"/>
      <c r="H25" s="429" t="s">
        <v>67</v>
      </c>
      <c r="I25" s="430"/>
      <c r="J25" s="576"/>
      <c r="K25" s="576"/>
      <c r="L25" s="576"/>
      <c r="M25" s="576"/>
      <c r="N25" s="47"/>
      <c r="O25" s="47"/>
      <c r="P25" s="47"/>
    </row>
    <row r="26" spans="1:16" s="5" customFormat="1" ht="12.75" customHeight="1">
      <c r="A26" s="46"/>
      <c r="B26" s="433"/>
      <c r="C26" s="434"/>
      <c r="D26" s="455"/>
      <c r="E26" s="455"/>
      <c r="F26" s="433"/>
      <c r="G26" s="434"/>
      <c r="H26" s="433"/>
      <c r="I26" s="434"/>
      <c r="J26" s="428"/>
      <c r="K26" s="428"/>
      <c r="L26" s="428"/>
      <c r="M26" s="428"/>
      <c r="N26" s="576"/>
      <c r="O26" s="576"/>
      <c r="P26" s="46"/>
    </row>
    <row r="27" spans="1:16" s="5" customFormat="1" ht="12.75" customHeight="1">
      <c r="A27" s="46"/>
      <c r="B27" s="418" t="s">
        <v>30</v>
      </c>
      <c r="C27" s="419"/>
      <c r="D27" s="577">
        <v>1</v>
      </c>
      <c r="E27" s="577">
        <f>K22</f>
        <v>5</v>
      </c>
      <c r="F27" s="361">
        <v>197</v>
      </c>
      <c r="G27" s="361"/>
      <c r="H27" s="355">
        <f>E27*F27</f>
        <v>985</v>
      </c>
      <c r="I27" s="356"/>
      <c r="J27" s="578"/>
      <c r="K27" s="498"/>
      <c r="L27" s="578"/>
      <c r="M27" s="135"/>
      <c r="N27" s="135"/>
      <c r="O27" s="135"/>
      <c r="P27" s="46"/>
    </row>
    <row r="28" spans="1:16" s="5" customFormat="1" ht="12.75" customHeight="1">
      <c r="A28" s="47"/>
      <c r="B28" s="47"/>
      <c r="C28" s="47"/>
      <c r="D28" s="47"/>
      <c r="E28" s="428"/>
      <c r="F28" s="428"/>
      <c r="G28" s="428"/>
      <c r="H28" s="428"/>
      <c r="I28" s="428"/>
      <c r="J28" s="428"/>
      <c r="K28" s="428"/>
      <c r="L28" s="428"/>
      <c r="M28" s="47"/>
      <c r="N28" s="47"/>
      <c r="O28" s="47"/>
      <c r="P28" s="46"/>
    </row>
    <row r="29" spans="1:16" s="8" customFormat="1" ht="12.75" customHeight="1">
      <c r="A29" s="85" t="s">
        <v>133</v>
      </c>
      <c r="B29" s="139"/>
      <c r="C29" s="254">
        <f>H27</f>
        <v>985</v>
      </c>
      <c r="D29" s="47"/>
      <c r="E29" s="47"/>
      <c r="F29" s="47"/>
      <c r="G29" s="47"/>
      <c r="H29" s="47"/>
      <c r="I29" s="47"/>
      <c r="J29" s="47"/>
      <c r="K29" s="47"/>
      <c r="L29" s="47"/>
      <c r="M29" s="47"/>
      <c r="N29" s="47"/>
      <c r="O29" s="47"/>
      <c r="P29" s="47"/>
    </row>
    <row r="30" spans="1:16" s="8" customFormat="1" ht="12.75" customHeight="1">
      <c r="A30" s="9"/>
      <c r="B30" s="47"/>
      <c r="C30" s="47"/>
      <c r="D30" s="47"/>
      <c r="E30" s="47"/>
      <c r="F30" s="47"/>
      <c r="G30" s="47"/>
      <c r="H30" s="47"/>
      <c r="I30" s="47"/>
      <c r="J30" s="47"/>
      <c r="K30" s="47"/>
      <c r="L30" s="47"/>
      <c r="M30" s="47"/>
      <c r="N30" s="47"/>
      <c r="O30" s="47"/>
      <c r="P30" s="47"/>
    </row>
    <row r="31" spans="1:16" s="7" customFormat="1" ht="12.75" customHeight="1">
      <c r="A31" s="9" t="s">
        <v>134</v>
      </c>
      <c r="B31" s="9" t="s">
        <v>283</v>
      </c>
      <c r="C31" s="47"/>
      <c r="D31" s="47"/>
      <c r="E31" s="47"/>
      <c r="F31" s="47"/>
      <c r="G31" s="47"/>
      <c r="H31" s="47"/>
      <c r="I31" s="47"/>
      <c r="J31" s="475"/>
      <c r="K31" s="475"/>
      <c r="L31" s="475"/>
      <c r="M31" s="475"/>
      <c r="N31" s="475"/>
      <c r="O31" s="475"/>
      <c r="P31" s="475"/>
    </row>
    <row r="32" spans="1:16" s="7" customFormat="1" ht="12.75" customHeight="1">
      <c r="A32" s="85" t="s">
        <v>284</v>
      </c>
      <c r="B32" s="85"/>
      <c r="C32" s="82"/>
      <c r="D32" s="82"/>
      <c r="E32" s="82"/>
      <c r="F32" s="82"/>
      <c r="G32" s="82"/>
      <c r="H32" s="47"/>
      <c r="I32" s="47"/>
      <c r="J32" s="475"/>
      <c r="K32" s="475"/>
      <c r="L32" s="475"/>
      <c r="M32" s="475"/>
      <c r="N32" s="475"/>
      <c r="O32" s="475"/>
      <c r="P32" s="475"/>
    </row>
    <row r="33" spans="1:9" s="7" customFormat="1" ht="12.75" customHeight="1">
      <c r="A33" s="173"/>
      <c r="B33" s="174"/>
      <c r="C33" s="175"/>
      <c r="D33" s="175"/>
      <c r="E33" s="175"/>
      <c r="F33" s="176" t="s">
        <v>137</v>
      </c>
      <c r="G33" s="179"/>
      <c r="H33" s="255"/>
      <c r="I33" s="47"/>
    </row>
    <row r="34" spans="1:9" s="7" customFormat="1" ht="12.75" customHeight="1">
      <c r="A34" s="177" t="s">
        <v>246</v>
      </c>
      <c r="B34" s="171" t="s">
        <v>259</v>
      </c>
      <c r="C34" s="178"/>
      <c r="D34" s="178"/>
      <c r="E34" s="178"/>
      <c r="F34" s="187" t="s">
        <v>285</v>
      </c>
      <c r="G34" s="259"/>
      <c r="H34" s="256"/>
      <c r="I34" s="47"/>
    </row>
    <row r="35" spans="1:9" s="7" customFormat="1" ht="12.75" customHeight="1">
      <c r="A35" s="177"/>
      <c r="B35" s="171"/>
      <c r="C35" s="178"/>
      <c r="D35" s="178"/>
      <c r="E35" s="178"/>
      <c r="F35" s="179"/>
      <c r="G35" s="179"/>
      <c r="H35" s="255"/>
      <c r="I35" s="47"/>
    </row>
    <row r="36" spans="1:9" s="7" customFormat="1" ht="12.75" customHeight="1">
      <c r="A36" s="180">
        <v>1</v>
      </c>
      <c r="B36" s="171" t="s">
        <v>286</v>
      </c>
      <c r="C36" s="178"/>
      <c r="D36" s="178"/>
      <c r="E36" s="178"/>
      <c r="F36" s="179"/>
      <c r="G36" s="179"/>
      <c r="H36" s="257"/>
      <c r="I36" s="47"/>
    </row>
    <row r="37" spans="1:9" s="7" customFormat="1" ht="12.75" customHeight="1">
      <c r="A37" s="180"/>
      <c r="B37" s="171" t="s">
        <v>287</v>
      </c>
      <c r="C37" s="172"/>
      <c r="D37" s="171"/>
      <c r="E37" s="171"/>
      <c r="F37" s="181"/>
      <c r="G37" s="181"/>
      <c r="H37" s="257"/>
      <c r="I37" s="47"/>
    </row>
    <row r="38" spans="1:9" s="7" customFormat="1" ht="12.75" customHeight="1">
      <c r="A38" s="182" t="s">
        <v>288</v>
      </c>
      <c r="B38" s="359" t="s">
        <v>289</v>
      </c>
      <c r="C38" s="359"/>
      <c r="D38" s="359"/>
      <c r="E38" s="360"/>
      <c r="F38" s="181" t="s">
        <v>229</v>
      </c>
      <c r="G38" s="181"/>
      <c r="H38" s="257"/>
      <c r="I38" s="47"/>
    </row>
    <row r="39" spans="1:9" s="7" customFormat="1" ht="12.75" customHeight="1">
      <c r="A39" s="183"/>
      <c r="B39" s="160"/>
      <c r="C39" s="172"/>
      <c r="D39" s="171"/>
      <c r="E39" s="171"/>
      <c r="F39" s="181"/>
      <c r="G39" s="181"/>
      <c r="H39" s="257"/>
      <c r="I39" s="47"/>
    </row>
    <row r="40" spans="1:9" s="7" customFormat="1" ht="12.75" customHeight="1">
      <c r="A40" s="180"/>
      <c r="B40" s="171" t="s">
        <v>290</v>
      </c>
      <c r="C40" s="172"/>
      <c r="D40" s="171"/>
      <c r="E40" s="171"/>
      <c r="F40" s="181"/>
      <c r="G40" s="181"/>
      <c r="H40" s="257"/>
      <c r="I40" s="47"/>
    </row>
    <row r="41" spans="1:9" s="7" customFormat="1" ht="12.75" customHeight="1">
      <c r="A41" s="182" t="s">
        <v>288</v>
      </c>
      <c r="B41" s="160" t="s">
        <v>291</v>
      </c>
      <c r="C41" s="172"/>
      <c r="D41" s="171"/>
      <c r="E41" s="171"/>
      <c r="F41" s="181">
        <v>1000</v>
      </c>
      <c r="G41" s="181"/>
      <c r="H41" s="257"/>
      <c r="I41" s="47"/>
    </row>
    <row r="42" spans="1:9" s="7" customFormat="1" ht="12.75" customHeight="1">
      <c r="A42" s="183"/>
      <c r="B42" s="160"/>
      <c r="C42" s="172"/>
      <c r="D42" s="171"/>
      <c r="E42" s="171"/>
      <c r="F42" s="181"/>
      <c r="G42" s="181"/>
      <c r="H42" s="257"/>
      <c r="I42" s="47"/>
    </row>
    <row r="43" spans="1:9" s="7" customFormat="1" ht="12.75" customHeight="1">
      <c r="A43" s="184"/>
      <c r="B43" s="174"/>
      <c r="C43" s="185"/>
      <c r="D43" s="175"/>
      <c r="E43" s="175"/>
      <c r="F43" s="186"/>
      <c r="G43" s="181"/>
      <c r="H43" s="257"/>
      <c r="I43" s="47"/>
    </row>
    <row r="44" spans="1:9" s="7" customFormat="1" ht="12.75" customHeight="1">
      <c r="A44" s="187">
        <v>2</v>
      </c>
      <c r="B44" s="188" t="s">
        <v>292</v>
      </c>
      <c r="C44" s="189"/>
      <c r="D44" s="190"/>
      <c r="E44" s="190"/>
      <c r="F44" s="191"/>
      <c r="G44" s="181"/>
      <c r="H44" s="257"/>
      <c r="I44" s="47"/>
    </row>
    <row r="45" spans="1:9" s="7" customFormat="1" ht="12.75" customHeight="1">
      <c r="A45" s="180"/>
      <c r="B45" s="171" t="s">
        <v>293</v>
      </c>
      <c r="C45" s="172"/>
      <c r="D45" s="161"/>
      <c r="E45" s="161"/>
      <c r="F45" s="181"/>
      <c r="G45" s="181"/>
      <c r="H45" s="257"/>
      <c r="I45" s="47"/>
    </row>
    <row r="46" spans="1:9" s="7" customFormat="1" ht="12.75" customHeight="1">
      <c r="A46" s="182" t="s">
        <v>294</v>
      </c>
      <c r="B46" s="359" t="s">
        <v>289</v>
      </c>
      <c r="C46" s="359"/>
      <c r="D46" s="359"/>
      <c r="E46" s="360"/>
      <c r="F46" s="181" t="s">
        <v>229</v>
      </c>
      <c r="G46" s="181"/>
      <c r="H46" s="257"/>
      <c r="I46" s="47"/>
    </row>
    <row r="47" spans="1:9" s="7" customFormat="1" ht="12.75" customHeight="1">
      <c r="A47" s="183"/>
      <c r="B47" s="160"/>
      <c r="C47" s="172"/>
      <c r="D47" s="161"/>
      <c r="E47" s="161"/>
      <c r="F47" s="181"/>
      <c r="G47" s="181"/>
      <c r="H47" s="257"/>
      <c r="I47" s="47"/>
    </row>
    <row r="48" spans="1:9" s="7" customFormat="1" ht="12.75" customHeight="1">
      <c r="A48" s="180"/>
      <c r="B48" s="171" t="s">
        <v>295</v>
      </c>
      <c r="C48" s="172"/>
      <c r="D48" s="161"/>
      <c r="E48" s="161"/>
      <c r="F48" s="181"/>
      <c r="G48" s="181"/>
      <c r="H48" s="257"/>
      <c r="I48" s="47"/>
    </row>
    <row r="49" spans="1:15" s="7" customFormat="1" ht="12.75" customHeight="1">
      <c r="A49" s="182" t="s">
        <v>294</v>
      </c>
      <c r="B49" s="160" t="s">
        <v>291</v>
      </c>
      <c r="C49" s="172"/>
      <c r="D49" s="161"/>
      <c r="E49" s="161"/>
      <c r="F49" s="181" t="s">
        <v>296</v>
      </c>
      <c r="G49" s="181"/>
      <c r="H49" s="257"/>
      <c r="I49" s="47"/>
      <c r="J49" s="475"/>
      <c r="K49" s="475"/>
      <c r="L49" s="475"/>
      <c r="M49" s="475"/>
      <c r="N49" s="475"/>
      <c r="O49" s="475"/>
    </row>
    <row r="50" spans="1:15" s="7" customFormat="1" ht="12.75" customHeight="1">
      <c r="A50" s="183"/>
      <c r="B50" s="160"/>
      <c r="C50" s="172"/>
      <c r="D50" s="161"/>
      <c r="E50" s="161"/>
      <c r="F50" s="181"/>
      <c r="G50" s="181"/>
      <c r="H50" s="257"/>
      <c r="I50" s="47"/>
      <c r="J50" s="475"/>
      <c r="K50" s="475"/>
      <c r="L50" s="475"/>
      <c r="M50" s="475"/>
      <c r="N50" s="475"/>
      <c r="O50" s="475"/>
    </row>
    <row r="51" spans="1:15" s="7" customFormat="1" ht="12.75" customHeight="1">
      <c r="A51" s="184"/>
      <c r="B51" s="174"/>
      <c r="C51" s="185"/>
      <c r="D51" s="175"/>
      <c r="E51" s="175"/>
      <c r="F51" s="192"/>
      <c r="G51" s="260"/>
      <c r="H51" s="258"/>
      <c r="I51" s="47"/>
      <c r="J51" s="475"/>
      <c r="K51" s="475"/>
      <c r="L51" s="475"/>
      <c r="M51" s="475"/>
      <c r="N51" s="475"/>
      <c r="O51" s="475"/>
    </row>
    <row r="52" spans="1:15" s="7" customFormat="1" ht="30" customHeight="1">
      <c r="A52" s="187">
        <v>3</v>
      </c>
      <c r="B52" s="357" t="s">
        <v>297</v>
      </c>
      <c r="C52" s="357"/>
      <c r="D52" s="357"/>
      <c r="E52" s="358"/>
      <c r="F52" s="191"/>
      <c r="G52" s="181"/>
      <c r="H52" s="257"/>
      <c r="I52" s="47"/>
      <c r="J52" s="475"/>
      <c r="K52" s="475"/>
      <c r="L52" s="475"/>
      <c r="M52" s="475"/>
      <c r="N52" s="475"/>
      <c r="O52" s="475"/>
    </row>
    <row r="53" spans="1:15" s="7" customFormat="1" ht="12.75" customHeight="1">
      <c r="A53" s="180"/>
      <c r="B53" s="171" t="s">
        <v>298</v>
      </c>
      <c r="C53" s="172"/>
      <c r="D53" s="161"/>
      <c r="E53" s="161"/>
      <c r="F53" s="181">
        <v>1500</v>
      </c>
      <c r="G53" s="181"/>
      <c r="H53" s="257"/>
      <c r="I53" s="47"/>
      <c r="J53" s="475"/>
      <c r="K53" s="475"/>
      <c r="L53" s="475"/>
      <c r="M53" s="475"/>
      <c r="N53" s="475"/>
      <c r="O53" s="475"/>
    </row>
    <row r="54" spans="1:15" s="7" customFormat="1" ht="12.75" customHeight="1">
      <c r="A54" s="182"/>
      <c r="B54" s="160"/>
      <c r="C54" s="172"/>
      <c r="D54" s="161"/>
      <c r="E54" s="161"/>
      <c r="F54" s="181" t="s">
        <v>299</v>
      </c>
      <c r="G54" s="181"/>
      <c r="H54" s="257"/>
      <c r="I54" s="47"/>
      <c r="J54" s="475"/>
      <c r="K54" s="475"/>
      <c r="L54" s="475"/>
      <c r="M54" s="475"/>
      <c r="N54" s="475"/>
      <c r="O54" s="475"/>
    </row>
    <row r="55" spans="1:15" s="7" customFormat="1" ht="12.75" customHeight="1">
      <c r="A55" s="183"/>
      <c r="B55" s="160"/>
      <c r="C55" s="172"/>
      <c r="D55" s="161"/>
      <c r="E55" s="161"/>
      <c r="F55" s="181"/>
      <c r="G55" s="181"/>
      <c r="H55" s="257"/>
      <c r="I55" s="47"/>
      <c r="J55" s="475"/>
      <c r="K55" s="475"/>
      <c r="L55" s="475"/>
      <c r="M55" s="475"/>
      <c r="N55" s="475"/>
      <c r="O55" s="475"/>
    </row>
    <row r="56" spans="1:15" s="7" customFormat="1" ht="12.75" customHeight="1">
      <c r="A56" s="187">
        <v>4</v>
      </c>
      <c r="B56" s="188" t="s">
        <v>300</v>
      </c>
      <c r="C56" s="189"/>
      <c r="D56" s="190"/>
      <c r="E56" s="190"/>
      <c r="F56" s="191"/>
      <c r="G56" s="181"/>
      <c r="H56" s="257"/>
      <c r="I56" s="47"/>
      <c r="J56" s="475"/>
      <c r="K56" s="475"/>
      <c r="L56" s="475"/>
      <c r="M56" s="475"/>
      <c r="N56" s="475"/>
      <c r="O56" s="475"/>
    </row>
    <row r="57" spans="1:15" s="7" customFormat="1" ht="12.75" customHeight="1">
      <c r="A57" s="180"/>
      <c r="B57" s="171" t="s">
        <v>298</v>
      </c>
      <c r="C57" s="172"/>
      <c r="D57" s="161"/>
      <c r="E57" s="161"/>
      <c r="F57" s="181">
        <v>500</v>
      </c>
      <c r="G57" s="181"/>
      <c r="H57" s="257"/>
      <c r="I57" s="47"/>
      <c r="J57" s="475"/>
      <c r="K57" s="475"/>
      <c r="L57" s="475"/>
      <c r="M57" s="475"/>
      <c r="N57" s="475"/>
      <c r="O57" s="475"/>
    </row>
    <row r="58" spans="1:15" s="7" customFormat="1" ht="12.75" customHeight="1">
      <c r="A58" s="182"/>
      <c r="B58" s="220" t="s">
        <v>301</v>
      </c>
      <c r="C58" s="172"/>
      <c r="D58" s="161"/>
      <c r="E58" s="161"/>
      <c r="F58" s="193" t="s">
        <v>299</v>
      </c>
      <c r="G58" s="181"/>
      <c r="H58" s="257"/>
      <c r="I58" s="579"/>
      <c r="J58" s="580"/>
      <c r="K58" s="579"/>
      <c r="L58" s="475"/>
      <c r="M58" s="475"/>
      <c r="N58" s="475"/>
      <c r="O58" s="475"/>
    </row>
    <row r="59" spans="1:15" s="5" customFormat="1" ht="12.75" customHeight="1">
      <c r="A59" s="184"/>
      <c r="B59" s="174"/>
      <c r="C59" s="185"/>
      <c r="D59" s="174"/>
      <c r="E59" s="174"/>
      <c r="F59" s="186"/>
      <c r="G59" s="181"/>
      <c r="H59" s="257"/>
      <c r="I59" s="47"/>
      <c r="J59" s="47"/>
      <c r="K59" s="47"/>
      <c r="L59" s="47"/>
      <c r="M59" s="47"/>
      <c r="N59" s="47"/>
      <c r="O59" s="47"/>
    </row>
    <row r="60" spans="1:15" s="6" customFormat="1" ht="11.45" customHeight="1">
      <c r="A60" s="47">
        <v>1</v>
      </c>
      <c r="B60" s="480" t="s">
        <v>61</v>
      </c>
      <c r="C60" s="480"/>
      <c r="D60" s="480"/>
      <c r="E60" s="480"/>
      <c r="F60" s="480"/>
      <c r="G60" s="480"/>
      <c r="H60" s="480"/>
      <c r="I60" s="480"/>
      <c r="J60" s="480"/>
      <c r="K60" s="480"/>
      <c r="L60" s="480"/>
      <c r="M60" s="480"/>
      <c r="N60" s="480"/>
      <c r="O60" s="480"/>
    </row>
    <row r="61" spans="1:15" s="6" customFormat="1">
      <c r="A61" s="47">
        <v>2</v>
      </c>
      <c r="B61" s="47" t="s">
        <v>121</v>
      </c>
      <c r="C61" s="10"/>
      <c r="D61" s="10"/>
      <c r="E61" s="10"/>
      <c r="F61" s="10"/>
      <c r="G61" s="10"/>
      <c r="H61" s="10"/>
      <c r="I61" s="10"/>
      <c r="J61" s="10"/>
      <c r="K61" s="10"/>
      <c r="L61" s="10"/>
      <c r="M61" s="10"/>
      <c r="N61" s="10"/>
      <c r="O61" s="10"/>
    </row>
    <row r="62" spans="1:15" s="6" customFormat="1">
      <c r="A62" s="47">
        <v>3</v>
      </c>
      <c r="B62" s="47" t="s">
        <v>122</v>
      </c>
      <c r="C62" s="10"/>
      <c r="D62" s="10"/>
      <c r="E62" s="10"/>
      <c r="F62" s="10"/>
      <c r="G62" s="10"/>
      <c r="H62" s="10"/>
      <c r="I62" s="10"/>
      <c r="J62" s="10"/>
      <c r="K62" s="10"/>
      <c r="L62" s="10"/>
      <c r="M62" s="10"/>
      <c r="N62" s="10"/>
      <c r="O62" s="10"/>
    </row>
    <row r="63" spans="1:15" s="6" customFormat="1">
      <c r="A63" s="47">
        <v>4</v>
      </c>
      <c r="B63" s="514" t="s">
        <v>302</v>
      </c>
      <c r="C63" s="10"/>
      <c r="D63" s="10"/>
      <c r="E63" s="10"/>
      <c r="F63" s="10"/>
      <c r="G63" s="10"/>
      <c r="H63" s="10"/>
      <c r="I63" s="10"/>
      <c r="J63" s="10"/>
      <c r="K63" s="10"/>
      <c r="L63" s="10"/>
      <c r="M63" s="10"/>
      <c r="N63" s="10"/>
      <c r="O63" s="10"/>
    </row>
    <row r="64" spans="1:15" s="6" customFormat="1">
      <c r="A64" s="47">
        <v>5</v>
      </c>
      <c r="B64" s="47" t="s">
        <v>303</v>
      </c>
      <c r="C64" s="47"/>
      <c r="D64" s="47"/>
      <c r="E64" s="47"/>
      <c r="F64" s="47"/>
      <c r="G64" s="47"/>
      <c r="H64" s="47"/>
      <c r="I64" s="47"/>
      <c r="J64" s="47"/>
      <c r="K64" s="47"/>
      <c r="L64" s="47"/>
      <c r="M64" s="47"/>
      <c r="N64" s="47"/>
      <c r="O64" s="47"/>
    </row>
    <row r="65" spans="1:18" s="6" customFormat="1">
      <c r="A65" s="47">
        <v>6</v>
      </c>
      <c r="B65" s="47" t="s">
        <v>281</v>
      </c>
      <c r="C65" s="47"/>
      <c r="D65" s="47"/>
      <c r="E65" s="47"/>
      <c r="F65" s="47"/>
      <c r="G65" s="47"/>
      <c r="H65" s="47"/>
      <c r="I65" s="47"/>
      <c r="J65" s="47"/>
      <c r="K65" s="47"/>
      <c r="L65" s="47"/>
      <c r="M65" s="47"/>
      <c r="N65" s="47"/>
      <c r="O65" s="47"/>
    </row>
    <row r="66" spans="1:18" s="6" customFormat="1" ht="45.75" customHeight="1">
      <c r="A66" s="47">
        <v>7</v>
      </c>
      <c r="B66" s="435" t="s">
        <v>304</v>
      </c>
      <c r="C66" s="435"/>
      <c r="D66" s="435"/>
      <c r="E66" s="435"/>
      <c r="F66" s="435"/>
      <c r="G66" s="435"/>
      <c r="H66" s="435"/>
      <c r="I66" s="435"/>
      <c r="J66" s="435"/>
      <c r="K66" s="435"/>
      <c r="L66" s="435"/>
      <c r="M66" s="435"/>
      <c r="N66" s="435"/>
      <c r="O66" s="435"/>
    </row>
    <row r="67" spans="1:18" s="6" customFormat="1" ht="34.35" customHeight="1">
      <c r="A67" s="47">
        <v>8</v>
      </c>
      <c r="B67" s="480" t="s">
        <v>305</v>
      </c>
      <c r="C67" s="480"/>
      <c r="D67" s="480"/>
      <c r="E67" s="480"/>
      <c r="F67" s="480"/>
      <c r="G67" s="480"/>
      <c r="H67" s="480"/>
      <c r="I67" s="480"/>
      <c r="J67" s="480"/>
      <c r="K67" s="480"/>
      <c r="L67" s="480"/>
      <c r="M67" s="480"/>
      <c r="N67" s="480"/>
      <c r="O67" s="480"/>
      <c r="P67" s="475"/>
      <c r="Q67" s="475"/>
      <c r="R67" s="475"/>
    </row>
    <row r="68" spans="1:18" s="6" customFormat="1">
      <c r="A68" s="47">
        <v>9</v>
      </c>
      <c r="B68" s="47" t="s">
        <v>306</v>
      </c>
      <c r="C68" s="47"/>
      <c r="D68" s="47"/>
      <c r="E68" s="47"/>
      <c r="F68" s="47"/>
      <c r="G68" s="47"/>
      <c r="H68" s="47"/>
      <c r="I68" s="47"/>
      <c r="J68" s="47"/>
      <c r="K68" s="47"/>
      <c r="L68" s="47"/>
      <c r="M68" s="47"/>
      <c r="N68" s="47"/>
      <c r="O68" s="47"/>
    </row>
    <row r="69" spans="1:18" s="6" customFormat="1">
      <c r="A69" s="47">
        <v>10</v>
      </c>
      <c r="B69" s="47" t="s">
        <v>307</v>
      </c>
      <c r="C69" s="47"/>
      <c r="D69" s="47"/>
      <c r="E69" s="47"/>
      <c r="F69" s="47"/>
      <c r="G69" s="47"/>
      <c r="H69" s="47"/>
      <c r="I69" s="47"/>
      <c r="J69" s="47"/>
      <c r="K69" s="47"/>
      <c r="L69" s="47"/>
      <c r="M69" s="47"/>
      <c r="N69" s="47"/>
      <c r="O69" s="47"/>
    </row>
    <row r="70" spans="1:18">
      <c r="A70" s="10"/>
      <c r="B70" s="10"/>
      <c r="C70" s="10"/>
      <c r="D70" s="10"/>
      <c r="E70" s="10"/>
      <c r="F70" s="10"/>
      <c r="G70" s="10"/>
      <c r="H70" s="10"/>
      <c r="I70" s="10"/>
      <c r="J70" s="47"/>
      <c r="K70" s="47"/>
      <c r="L70" s="47"/>
      <c r="M70" s="47"/>
      <c r="N70" s="47"/>
      <c r="O70" s="47"/>
    </row>
  </sheetData>
  <mergeCells count="27">
    <mergeCell ref="K20:K21"/>
    <mergeCell ref="B67:O67"/>
    <mergeCell ref="B66:O66"/>
    <mergeCell ref="B60:O60"/>
    <mergeCell ref="B23:N23"/>
    <mergeCell ref="H27:I27"/>
    <mergeCell ref="B52:E52"/>
    <mergeCell ref="B38:E38"/>
    <mergeCell ref="B46:E46"/>
    <mergeCell ref="B27:C27"/>
    <mergeCell ref="F27:G27"/>
    <mergeCell ref="A1:O1"/>
    <mergeCell ref="N26:O26"/>
    <mergeCell ref="G22:I22"/>
    <mergeCell ref="H25:I26"/>
    <mergeCell ref="F25:G26"/>
    <mergeCell ref="E25:E26"/>
    <mergeCell ref="B25:C26"/>
    <mergeCell ref="B22:C22"/>
    <mergeCell ref="B20:C21"/>
    <mergeCell ref="D20:F21"/>
    <mergeCell ref="D22:F22"/>
    <mergeCell ref="J25:K25"/>
    <mergeCell ref="L25:M25"/>
    <mergeCell ref="J20:J21"/>
    <mergeCell ref="G20:I21"/>
    <mergeCell ref="D25:D26"/>
  </mergeCells>
  <phoneticPr fontId="12" type="noConversion"/>
  <pageMargins left="0.23622047244094491" right="0.23622047244094491" top="0.59055118110236227" bottom="0.59055118110236227" header="0.23622047244094491" footer="0.23622047244094491"/>
  <pageSetup paperSize="9" scale="70" orientation="landscape" r:id="rId1"/>
  <headerFooter alignWithMargins="0">
    <oddHeader>&amp;C&amp;"Arial,Bold"PLACEMENT SLIP
&amp;"Arial,Regular"&amp;8&amp;A&amp;R&amp;G</oddHeader>
    <oddFooter>&amp;LProceed cover
_____________________
Client Sign / Date&amp;C&amp;8This is to effect cover, not a contract. The signed qtn slip (if applic) and the policy form the basis of the contract.&amp;10
&amp;6E &amp;&amp; OE&amp;RConfirmed
_____________________
Insurer Sign / Date</oddFooter>
  </headerFooter>
  <rowBreaks count="1" manualBreakCount="1">
    <brk id="30" max="14" man="1"/>
  </rowBreak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6E67E-7D47-4D4D-85E9-6FA6D3839FDD}">
  <sheetPr codeName="Sheet13"/>
  <dimension ref="A1:P77"/>
  <sheetViews>
    <sheetView view="pageBreakPreview" zoomScale="70" zoomScaleNormal="70" zoomScaleSheetLayoutView="70" zoomScalePageLayoutView="85" workbookViewId="0"/>
  </sheetViews>
  <sheetFormatPr defaultColWidth="9.140625" defaultRowHeight="12.6"/>
  <cols>
    <col min="1" max="1" width="8.85546875" style="47" customWidth="1"/>
    <col min="2" max="2" width="29.140625" style="8" customWidth="1"/>
    <col min="3" max="3" width="9.42578125" style="47" customWidth="1"/>
    <col min="4" max="5" width="10.85546875" style="47" customWidth="1"/>
    <col min="6" max="6" width="27.7109375" style="47" customWidth="1"/>
    <col min="7" max="7" width="14.140625" style="47" customWidth="1"/>
    <col min="8" max="8" width="14.85546875" style="47" customWidth="1"/>
    <col min="9" max="9" width="10.85546875" style="47" customWidth="1"/>
    <col min="10" max="10" width="9.42578125" style="47" customWidth="1"/>
    <col min="11" max="11" width="10.85546875" style="47" customWidth="1"/>
    <col min="12" max="12" width="6.5703125" style="47" customWidth="1"/>
    <col min="13" max="13" width="8" style="47" customWidth="1"/>
    <col min="14" max="14" width="5.5703125" style="47" customWidth="1"/>
    <col min="15" max="15" width="7.85546875" style="47" customWidth="1"/>
    <col min="16" max="16" width="14.140625" style="46" customWidth="1"/>
    <col min="17" max="17" width="23.85546875" style="46" customWidth="1"/>
    <col min="18" max="16384" width="9.140625" style="46"/>
  </cols>
  <sheetData>
    <row r="1" spans="1:16" ht="24.95">
      <c r="A1" s="63" t="s">
        <v>308</v>
      </c>
      <c r="B1" s="65"/>
    </row>
    <row r="2" spans="1:16" ht="15" customHeight="1">
      <c r="A2" s="63"/>
      <c r="B2" s="65"/>
      <c r="F2" s="64"/>
      <c r="G2" s="64"/>
      <c r="H2" s="64"/>
      <c r="I2" s="64"/>
    </row>
    <row r="3" spans="1:16" s="5" customFormat="1" ht="12.75" customHeight="1">
      <c r="A3" s="9" t="s">
        <v>1</v>
      </c>
      <c r="B3" s="9"/>
      <c r="C3" s="47"/>
      <c r="D3" s="25"/>
      <c r="E3" s="47"/>
      <c r="F3" s="47"/>
      <c r="G3" s="47"/>
      <c r="H3" s="47"/>
      <c r="I3" s="47"/>
      <c r="J3" s="84"/>
      <c r="K3" s="84"/>
      <c r="L3" s="84"/>
      <c r="M3" s="84"/>
      <c r="N3" s="84"/>
      <c r="O3" s="84"/>
      <c r="P3" s="84"/>
    </row>
    <row r="4" spans="1:16" s="5" customFormat="1" ht="12.75" customHeight="1">
      <c r="A4" s="9" t="s">
        <v>2</v>
      </c>
      <c r="B4" s="9"/>
      <c r="C4" s="47" t="s">
        <v>3</v>
      </c>
      <c r="D4" s="25"/>
      <c r="E4" s="47"/>
      <c r="F4" s="47"/>
      <c r="G4" s="47"/>
      <c r="H4" s="47"/>
      <c r="I4" s="47"/>
      <c r="J4" s="84"/>
      <c r="K4" s="84"/>
      <c r="L4" s="84"/>
      <c r="M4" s="84"/>
      <c r="N4" s="84"/>
      <c r="O4" s="84"/>
      <c r="P4" s="84"/>
    </row>
    <row r="5" spans="1:16" s="5" customFormat="1" ht="12.75" customHeight="1">
      <c r="A5" s="9" t="s">
        <v>4</v>
      </c>
      <c r="B5" s="9"/>
      <c r="C5" s="47" t="s">
        <v>3</v>
      </c>
      <c r="D5" s="25"/>
      <c r="E5" s="47"/>
      <c r="F5" s="47"/>
      <c r="G5" s="47"/>
      <c r="H5" s="47"/>
      <c r="I5" s="47"/>
      <c r="J5" s="84"/>
      <c r="K5" s="84"/>
      <c r="L5" s="84"/>
      <c r="M5" s="84"/>
      <c r="N5" s="84"/>
      <c r="O5" s="84"/>
      <c r="P5" s="84"/>
    </row>
    <row r="6" spans="1:16" s="5" customFormat="1" ht="12.75" customHeight="1">
      <c r="A6" s="9" t="s">
        <v>5</v>
      </c>
      <c r="B6" s="9"/>
      <c r="C6" s="47" t="s">
        <v>6</v>
      </c>
      <c r="D6" s="25"/>
      <c r="E6" s="47"/>
      <c r="F6" s="47"/>
      <c r="G6" s="47"/>
      <c r="H6" s="47"/>
      <c r="I6" s="47"/>
      <c r="J6" s="84"/>
      <c r="K6" s="84"/>
      <c r="L6" s="84"/>
      <c r="M6" s="84"/>
      <c r="N6" s="84"/>
      <c r="O6" s="84"/>
      <c r="P6" s="84"/>
    </row>
    <row r="7" spans="1:16" s="5" customFormat="1" ht="12.75" customHeight="1">
      <c r="A7" s="9" t="s">
        <v>7</v>
      </c>
      <c r="B7" s="9"/>
      <c r="C7" s="47" t="s">
        <v>8</v>
      </c>
      <c r="D7" s="25"/>
      <c r="E7" s="47"/>
      <c r="F7" s="47"/>
      <c r="G7" s="47"/>
      <c r="H7" s="47"/>
      <c r="I7" s="47"/>
      <c r="J7" s="84"/>
      <c r="K7" s="84"/>
      <c r="L7" s="84"/>
      <c r="M7" s="84"/>
      <c r="N7" s="84"/>
      <c r="O7" s="84"/>
      <c r="P7" s="84"/>
    </row>
    <row r="8" spans="1:16" s="5" customFormat="1" ht="12.75" customHeight="1">
      <c r="A8" s="9" t="s">
        <v>9</v>
      </c>
      <c r="B8" s="9"/>
      <c r="C8" s="47" t="s">
        <v>10</v>
      </c>
      <c r="D8" s="47"/>
      <c r="E8" s="47"/>
      <c r="F8" s="47"/>
      <c r="G8" s="47"/>
      <c r="H8" s="47"/>
      <c r="I8" s="47"/>
      <c r="J8" s="84"/>
      <c r="K8" s="84"/>
      <c r="L8" s="84"/>
      <c r="M8" s="84"/>
      <c r="N8" s="84"/>
      <c r="O8" s="84"/>
      <c r="P8" s="84"/>
    </row>
    <row r="9" spans="1:16" s="5" customFormat="1" ht="12.75" customHeight="1">
      <c r="A9" s="9" t="s">
        <v>11</v>
      </c>
      <c r="B9" s="9"/>
      <c r="C9" s="47" t="s">
        <v>12</v>
      </c>
      <c r="D9" s="47"/>
      <c r="E9" s="47"/>
      <c r="F9" s="47"/>
      <c r="G9" s="47"/>
      <c r="H9" s="47"/>
      <c r="I9" s="47"/>
      <c r="J9" s="84"/>
      <c r="K9" s="84"/>
      <c r="L9" s="84"/>
      <c r="M9" s="84"/>
      <c r="N9" s="84"/>
      <c r="O9" s="84"/>
      <c r="P9" s="84"/>
    </row>
    <row r="10" spans="1:16" s="5" customFormat="1" ht="12.75" customHeight="1">
      <c r="A10" s="9" t="s">
        <v>13</v>
      </c>
      <c r="B10" s="9"/>
      <c r="C10" s="47"/>
      <c r="D10" s="47"/>
      <c r="E10" s="47"/>
      <c r="F10" s="47"/>
      <c r="G10" s="47"/>
      <c r="H10" s="47"/>
      <c r="I10" s="47"/>
      <c r="J10" s="84"/>
      <c r="K10" s="84"/>
      <c r="L10" s="84"/>
      <c r="M10" s="84"/>
      <c r="N10" s="84"/>
      <c r="O10" s="84"/>
      <c r="P10" s="84"/>
    </row>
    <row r="11" spans="1:16" s="5" customFormat="1" ht="12.75" customHeight="1">
      <c r="A11" s="9" t="s">
        <v>14</v>
      </c>
      <c r="B11" s="9"/>
      <c r="C11" s="416">
        <v>50011653</v>
      </c>
      <c r="D11" s="47"/>
      <c r="E11" s="47"/>
      <c r="F11" s="47"/>
      <c r="G11" s="47"/>
      <c r="H11" s="47"/>
      <c r="I11" s="47"/>
      <c r="J11" s="84"/>
      <c r="K11" s="84"/>
      <c r="L11" s="84"/>
      <c r="M11" s="84"/>
      <c r="N11" s="84"/>
      <c r="O11" s="84"/>
      <c r="P11" s="84"/>
    </row>
    <row r="12" spans="1:16" s="5" customFormat="1" ht="12.75" customHeight="1">
      <c r="A12" s="9"/>
      <c r="B12" s="9"/>
      <c r="C12" s="47"/>
      <c r="D12" s="47"/>
      <c r="E12" s="47"/>
      <c r="F12" s="47"/>
      <c r="G12" s="47"/>
      <c r="H12" s="47"/>
      <c r="I12" s="47"/>
      <c r="J12" s="84"/>
      <c r="K12" s="84"/>
      <c r="L12" s="84"/>
      <c r="M12" s="84"/>
      <c r="N12" s="84"/>
      <c r="O12" s="84"/>
      <c r="P12" s="84"/>
    </row>
    <row r="13" spans="1:16" s="5" customFormat="1" ht="12.95">
      <c r="A13" s="9" t="s">
        <v>15</v>
      </c>
      <c r="B13" s="9"/>
      <c r="C13" s="47" t="s">
        <v>16</v>
      </c>
      <c r="D13" s="9"/>
      <c r="E13" s="47"/>
      <c r="F13" s="47"/>
      <c r="G13" s="47"/>
      <c r="H13" s="47"/>
      <c r="I13" s="47"/>
      <c r="J13" s="46"/>
      <c r="K13" s="46"/>
      <c r="L13" s="46"/>
      <c r="M13" s="46"/>
      <c r="N13" s="46"/>
      <c r="O13" s="46"/>
      <c r="P13" s="46"/>
    </row>
    <row r="14" spans="1:16" s="5" customFormat="1" ht="12.95">
      <c r="A14" s="9" t="s">
        <v>17</v>
      </c>
      <c r="B14" s="9"/>
      <c r="C14" s="47" t="s">
        <v>18</v>
      </c>
      <c r="D14" s="9"/>
      <c r="E14" s="47"/>
      <c r="F14" s="47"/>
      <c r="G14" s="47"/>
      <c r="H14" s="47"/>
      <c r="I14" s="47"/>
      <c r="J14" s="46"/>
      <c r="K14" s="46"/>
      <c r="L14" s="46"/>
      <c r="M14" s="46"/>
      <c r="N14" s="46"/>
      <c r="O14" s="46"/>
      <c r="P14" s="46"/>
    </row>
    <row r="15" spans="1:16" s="5" customFormat="1" ht="12.95">
      <c r="A15" s="9" t="s">
        <v>19</v>
      </c>
      <c r="B15" s="9"/>
      <c r="C15" s="416" t="s">
        <v>20</v>
      </c>
      <c r="D15" s="47"/>
      <c r="E15" s="47"/>
      <c r="F15" s="47"/>
      <c r="G15" s="47"/>
      <c r="H15" s="47"/>
      <c r="I15" s="47"/>
      <c r="J15" s="46"/>
      <c r="K15" s="46"/>
      <c r="L15" s="46"/>
      <c r="M15" s="46"/>
      <c r="N15" s="46"/>
      <c r="O15" s="46"/>
      <c r="P15" s="46"/>
    </row>
    <row r="16" spans="1:16" s="5" customFormat="1" ht="12.75" customHeight="1">
      <c r="A16" s="9"/>
      <c r="B16" s="47"/>
      <c r="C16" s="47"/>
      <c r="D16" s="47"/>
      <c r="E16" s="47"/>
      <c r="F16" s="9"/>
      <c r="G16" s="47"/>
      <c r="H16" s="47"/>
      <c r="I16" s="47"/>
      <c r="J16" s="84"/>
      <c r="K16" s="84"/>
      <c r="L16" s="84"/>
      <c r="M16" s="84"/>
      <c r="N16" s="84"/>
      <c r="O16" s="84"/>
      <c r="P16" s="84"/>
    </row>
    <row r="17" spans="1:16" s="5" customFormat="1" ht="12.75" customHeight="1">
      <c r="A17" s="9" t="s">
        <v>21</v>
      </c>
      <c r="B17" s="47"/>
      <c r="C17" s="47" t="s">
        <v>22</v>
      </c>
      <c r="D17" s="47"/>
      <c r="E17" s="47"/>
      <c r="F17" s="9"/>
      <c r="G17" s="47"/>
      <c r="H17" s="47"/>
      <c r="I17" s="47"/>
      <c r="J17" s="84"/>
      <c r="K17" s="84"/>
      <c r="L17" s="84"/>
      <c r="M17" s="84"/>
      <c r="N17" s="84"/>
      <c r="O17" s="84"/>
      <c r="P17" s="84"/>
    </row>
    <row r="18" spans="1:16" s="5" customFormat="1" ht="12.75" customHeight="1">
      <c r="A18" s="47"/>
      <c r="B18" s="47"/>
      <c r="C18" s="47"/>
      <c r="D18" s="47"/>
      <c r="E18" s="47"/>
      <c r="F18" s="47"/>
      <c r="G18" s="47"/>
      <c r="H18" s="47"/>
      <c r="I18" s="47"/>
      <c r="J18" s="47"/>
      <c r="K18" s="47"/>
      <c r="L18" s="47"/>
      <c r="M18" s="47"/>
      <c r="N18" s="47"/>
      <c r="O18" s="47"/>
      <c r="P18" s="46"/>
    </row>
    <row r="19" spans="1:16" s="5" customFormat="1" ht="12.75" customHeight="1">
      <c r="A19" s="9" t="s">
        <v>23</v>
      </c>
      <c r="B19" s="47"/>
      <c r="C19" s="9"/>
      <c r="D19" s="9"/>
      <c r="E19" s="9"/>
      <c r="F19" s="47"/>
      <c r="G19" s="47"/>
      <c r="H19" s="47"/>
      <c r="I19" s="47"/>
      <c r="J19" s="47"/>
      <c r="K19" s="47"/>
      <c r="L19" s="47"/>
      <c r="M19" s="47"/>
      <c r="N19" s="47"/>
      <c r="O19" s="47"/>
      <c r="P19" s="46"/>
    </row>
    <row r="20" spans="1:16" s="8" customFormat="1" ht="12.75" customHeight="1">
      <c r="A20" s="47"/>
      <c r="B20" s="429" t="s">
        <v>24</v>
      </c>
      <c r="C20" s="430"/>
      <c r="D20" s="429" t="s">
        <v>25</v>
      </c>
      <c r="E20" s="450"/>
      <c r="F20" s="430"/>
      <c r="G20" s="429" t="s">
        <v>26</v>
      </c>
      <c r="H20" s="450"/>
      <c r="I20" s="430"/>
      <c r="J20" s="451" t="s">
        <v>124</v>
      </c>
      <c r="K20" s="451" t="s">
        <v>125</v>
      </c>
      <c r="L20" s="47"/>
      <c r="M20" s="428"/>
      <c r="N20" s="47"/>
      <c r="O20" s="47"/>
      <c r="P20" s="47"/>
    </row>
    <row r="21" spans="1:16" s="5" customFormat="1" ht="12.75" customHeight="1">
      <c r="A21" s="47"/>
      <c r="B21" s="433"/>
      <c r="C21" s="434"/>
      <c r="D21" s="433"/>
      <c r="E21" s="454"/>
      <c r="F21" s="434"/>
      <c r="G21" s="433"/>
      <c r="H21" s="454"/>
      <c r="I21" s="434"/>
      <c r="J21" s="455"/>
      <c r="K21" s="455"/>
      <c r="L21" s="428"/>
      <c r="M21" s="428"/>
      <c r="N21" s="428"/>
      <c r="O21" s="47"/>
      <c r="P21" s="46"/>
    </row>
    <row r="22" spans="1:16" s="5" customFormat="1" ht="12.75" customHeight="1">
      <c r="A22" s="47"/>
      <c r="B22" s="429" t="s">
        <v>30</v>
      </c>
      <c r="C22" s="430"/>
      <c r="D22" s="429" t="s">
        <v>242</v>
      </c>
      <c r="E22" s="450"/>
      <c r="F22" s="430"/>
      <c r="G22" s="581" t="s">
        <v>32</v>
      </c>
      <c r="H22" s="582"/>
      <c r="I22" s="583"/>
      <c r="J22" s="584">
        <v>1</v>
      </c>
      <c r="K22" s="584">
        <v>5</v>
      </c>
      <c r="L22" s="428"/>
      <c r="M22" s="47"/>
      <c r="N22" s="47"/>
      <c r="O22" s="47"/>
      <c r="P22" s="46"/>
    </row>
    <row r="23" spans="1:16" s="5" customFormat="1" ht="12.75" customHeight="1">
      <c r="A23" s="47"/>
      <c r="B23" s="312" t="s">
        <v>36</v>
      </c>
      <c r="C23" s="426"/>
      <c r="D23" s="426"/>
      <c r="E23" s="426"/>
      <c r="F23" s="426"/>
      <c r="G23" s="426"/>
      <c r="H23" s="426"/>
      <c r="I23" s="426"/>
      <c r="J23" s="426"/>
      <c r="K23" s="426"/>
      <c r="L23" s="428"/>
      <c r="M23" s="47"/>
      <c r="N23" s="47"/>
      <c r="O23" s="47"/>
      <c r="P23" s="46"/>
    </row>
    <row r="24" spans="1:16" s="8" customFormat="1" ht="12.75" customHeight="1">
      <c r="A24" s="9" t="s">
        <v>37</v>
      </c>
      <c r="B24" s="47"/>
      <c r="C24" s="428"/>
      <c r="D24" s="428"/>
      <c r="E24" s="428"/>
      <c r="F24" s="47"/>
      <c r="G24" s="47"/>
      <c r="H24" s="47"/>
      <c r="I24" s="47"/>
      <c r="J24" s="47"/>
      <c r="K24" s="47"/>
      <c r="L24" s="47"/>
      <c r="M24" s="47"/>
      <c r="N24" s="47"/>
      <c r="O24" s="47"/>
      <c r="P24" s="47"/>
    </row>
    <row r="25" spans="1:16" s="8" customFormat="1" ht="12.75" customHeight="1">
      <c r="A25" s="47"/>
      <c r="B25" s="429" t="s">
        <v>24</v>
      </c>
      <c r="C25" s="430"/>
      <c r="D25" s="451" t="s">
        <v>124</v>
      </c>
      <c r="E25" s="451" t="s">
        <v>243</v>
      </c>
      <c r="F25" s="429" t="s">
        <v>132</v>
      </c>
      <c r="G25" s="430"/>
      <c r="H25" s="429" t="s">
        <v>67</v>
      </c>
      <c r="I25" s="430"/>
      <c r="J25" s="47"/>
      <c r="K25" s="47"/>
      <c r="L25" s="47"/>
      <c r="M25" s="47"/>
      <c r="N25" s="47"/>
      <c r="O25" s="47"/>
      <c r="P25" s="47"/>
    </row>
    <row r="26" spans="1:16" s="5" customFormat="1" ht="12.75" customHeight="1">
      <c r="A26" s="47"/>
      <c r="B26" s="433"/>
      <c r="C26" s="434"/>
      <c r="D26" s="455"/>
      <c r="E26" s="455"/>
      <c r="F26" s="433"/>
      <c r="G26" s="434"/>
      <c r="H26" s="433"/>
      <c r="I26" s="434"/>
      <c r="J26" s="47"/>
      <c r="K26" s="47"/>
      <c r="L26" s="47"/>
      <c r="M26" s="47"/>
      <c r="N26" s="47"/>
      <c r="O26" s="47"/>
      <c r="P26" s="46"/>
    </row>
    <row r="27" spans="1:16" s="5" customFormat="1" ht="12.75" customHeight="1">
      <c r="A27" s="47"/>
      <c r="B27" s="418" t="s">
        <v>30</v>
      </c>
      <c r="C27" s="419"/>
      <c r="D27" s="585">
        <v>1</v>
      </c>
      <c r="E27" s="526">
        <f>K22</f>
        <v>5</v>
      </c>
      <c r="F27" s="363">
        <v>182</v>
      </c>
      <c r="G27" s="364"/>
      <c r="H27" s="355">
        <f>E27*F27</f>
        <v>910</v>
      </c>
      <c r="I27" s="356"/>
      <c r="J27" s="47"/>
      <c r="K27" s="47"/>
      <c r="L27" s="47"/>
      <c r="M27" s="47"/>
      <c r="N27" s="47"/>
      <c r="O27" s="47"/>
      <c r="P27" s="46"/>
    </row>
    <row r="28" spans="1:16" s="5" customFormat="1" ht="12.75" customHeight="1">
      <c r="A28" s="47"/>
      <c r="B28" s="47"/>
      <c r="C28" s="47"/>
      <c r="D28" s="47"/>
      <c r="E28" s="428"/>
      <c r="F28" s="428"/>
      <c r="G28" s="428"/>
      <c r="H28" s="428"/>
      <c r="I28" s="428"/>
      <c r="J28" s="428"/>
      <c r="K28" s="428"/>
      <c r="L28" s="428"/>
      <c r="M28" s="47"/>
      <c r="N28" s="47"/>
      <c r="O28" s="47"/>
      <c r="P28" s="46"/>
    </row>
    <row r="29" spans="1:16" s="8" customFormat="1" ht="12.75" customHeight="1">
      <c r="A29" s="9" t="s">
        <v>133</v>
      </c>
      <c r="B29" s="47"/>
      <c r="C29" s="261">
        <f>H27</f>
        <v>910</v>
      </c>
      <c r="D29" s="416"/>
      <c r="E29" s="47"/>
      <c r="F29" s="47"/>
      <c r="G29" s="47"/>
      <c r="H29" s="47"/>
      <c r="I29" s="47"/>
      <c r="J29" s="47"/>
      <c r="K29" s="47"/>
      <c r="L29" s="47"/>
      <c r="M29" s="47"/>
      <c r="N29" s="47"/>
      <c r="O29" s="47"/>
      <c r="P29" s="47"/>
    </row>
    <row r="30" spans="1:16" s="8" customFormat="1" ht="12.75" customHeight="1">
      <c r="A30" s="9"/>
      <c r="B30" s="47"/>
      <c r="C30" s="47"/>
      <c r="D30" s="47"/>
      <c r="E30" s="47"/>
      <c r="F30" s="47"/>
      <c r="G30" s="47"/>
      <c r="H30" s="47"/>
      <c r="I30" s="47"/>
      <c r="J30" s="47"/>
      <c r="K30" s="47"/>
      <c r="L30" s="47"/>
      <c r="M30" s="47"/>
      <c r="N30" s="47"/>
      <c r="O30" s="47"/>
      <c r="P30" s="47"/>
    </row>
    <row r="31" spans="1:16" s="7" customFormat="1" ht="12" customHeight="1">
      <c r="A31" s="9" t="s">
        <v>134</v>
      </c>
      <c r="B31" s="9" t="s">
        <v>309</v>
      </c>
      <c r="C31" s="47"/>
      <c r="D31" s="47"/>
      <c r="E31" s="47"/>
      <c r="F31" s="47"/>
      <c r="G31" s="47"/>
      <c r="H31" s="47"/>
      <c r="I31" s="47"/>
      <c r="J31" s="475"/>
      <c r="K31" s="475"/>
      <c r="L31" s="475"/>
      <c r="M31" s="475"/>
      <c r="N31" s="475"/>
      <c r="O31" s="475"/>
      <c r="P31" s="475"/>
    </row>
    <row r="32" spans="1:16" s="7" customFormat="1" ht="18.75" customHeight="1">
      <c r="A32" s="40" t="s">
        <v>136</v>
      </c>
      <c r="B32" s="476"/>
      <c r="C32" s="17"/>
      <c r="D32" s="17"/>
      <c r="E32" s="24"/>
      <c r="F32" s="69" t="s">
        <v>137</v>
      </c>
      <c r="G32" s="475"/>
      <c r="H32" s="475"/>
      <c r="I32" s="475"/>
      <c r="J32" s="475"/>
      <c r="K32" s="475"/>
      <c r="L32" s="475"/>
      <c r="M32" s="475"/>
      <c r="N32" s="475"/>
      <c r="O32" s="475"/>
      <c r="P32" s="475"/>
    </row>
    <row r="33" spans="1:13" s="7" customFormat="1" ht="12" customHeight="1">
      <c r="A33" s="38"/>
      <c r="B33" s="47"/>
      <c r="C33" s="41"/>
      <c r="D33" s="41"/>
      <c r="E33" s="41"/>
      <c r="F33" s="54"/>
      <c r="G33" s="475"/>
      <c r="H33" s="475"/>
      <c r="I33" s="475"/>
      <c r="J33" s="475"/>
      <c r="K33" s="475"/>
      <c r="L33" s="475"/>
      <c r="M33" s="475"/>
    </row>
    <row r="34" spans="1:13" s="7" customFormat="1" ht="12" customHeight="1">
      <c r="A34" s="73" t="s">
        <v>246</v>
      </c>
      <c r="B34" s="74" t="s">
        <v>310</v>
      </c>
      <c r="C34" s="71"/>
      <c r="D34" s="71"/>
      <c r="E34" s="71"/>
      <c r="F34" s="262" t="s">
        <v>311</v>
      </c>
      <c r="G34" s="23"/>
      <c r="H34" s="475"/>
      <c r="I34" s="475"/>
      <c r="J34" s="475"/>
      <c r="K34" s="475"/>
      <c r="L34" s="475"/>
      <c r="M34" s="475"/>
    </row>
    <row r="35" spans="1:13" s="7" customFormat="1" ht="12" customHeight="1">
      <c r="A35" s="73" t="s">
        <v>249</v>
      </c>
      <c r="B35" s="74" t="s">
        <v>312</v>
      </c>
      <c r="C35" s="71"/>
      <c r="D35" s="71"/>
      <c r="E35" s="71"/>
      <c r="F35" s="72" t="s">
        <v>240</v>
      </c>
      <c r="G35" s="23"/>
      <c r="H35" s="475"/>
      <c r="I35" s="475"/>
      <c r="J35" s="475"/>
      <c r="K35" s="475"/>
      <c r="L35" s="475"/>
      <c r="M35" s="475"/>
    </row>
    <row r="36" spans="1:13" s="7" customFormat="1" ht="12" customHeight="1">
      <c r="A36" s="73" t="s">
        <v>210</v>
      </c>
      <c r="B36" s="74" t="s">
        <v>313</v>
      </c>
      <c r="C36" s="71"/>
      <c r="D36" s="71"/>
      <c r="E36" s="71"/>
      <c r="F36" s="72" t="s">
        <v>240</v>
      </c>
      <c r="G36" s="23"/>
      <c r="H36" s="475"/>
      <c r="I36" s="475"/>
      <c r="J36" s="475"/>
      <c r="K36" s="475"/>
      <c r="L36" s="475"/>
      <c r="M36" s="475"/>
    </row>
    <row r="37" spans="1:13" s="7" customFormat="1" ht="12" customHeight="1">
      <c r="A37" s="38"/>
      <c r="B37" s="47"/>
      <c r="C37" s="41"/>
      <c r="D37" s="41"/>
      <c r="E37" s="41"/>
      <c r="F37" s="55"/>
      <c r="G37" s="475"/>
      <c r="H37" s="475"/>
      <c r="I37" s="475"/>
      <c r="J37" s="475"/>
      <c r="K37" s="475"/>
      <c r="L37" s="475"/>
      <c r="M37" s="475"/>
    </row>
    <row r="38" spans="1:13" s="5" customFormat="1" ht="13.35" customHeight="1">
      <c r="A38" s="438" t="s">
        <v>314</v>
      </c>
      <c r="B38" s="47"/>
      <c r="C38" s="47"/>
      <c r="D38" s="47"/>
      <c r="E38" s="562"/>
      <c r="F38" s="362" t="s">
        <v>315</v>
      </c>
      <c r="G38" s="47"/>
      <c r="H38" s="47"/>
      <c r="I38" s="47"/>
      <c r="J38" s="47"/>
      <c r="K38" s="47"/>
      <c r="L38" s="47"/>
      <c r="M38" s="47"/>
    </row>
    <row r="39" spans="1:13" s="5" customFormat="1" ht="13.35" customHeight="1">
      <c r="A39" s="438" t="s">
        <v>316</v>
      </c>
      <c r="B39" s="47"/>
      <c r="C39" s="47"/>
      <c r="D39" s="47"/>
      <c r="E39" s="562"/>
      <c r="F39" s="362"/>
      <c r="G39" s="47"/>
      <c r="H39" s="47"/>
      <c r="I39" s="47"/>
      <c r="J39" s="47"/>
      <c r="K39" s="47"/>
      <c r="L39" s="47"/>
      <c r="M39" s="47"/>
    </row>
    <row r="40" spans="1:13" s="5" customFormat="1" ht="12" customHeight="1">
      <c r="A40" s="438" t="s">
        <v>317</v>
      </c>
      <c r="B40" s="47"/>
      <c r="C40" s="47"/>
      <c r="D40" s="47"/>
      <c r="E40" s="562"/>
      <c r="F40" s="362"/>
      <c r="G40" s="47"/>
      <c r="H40" s="47"/>
      <c r="I40" s="47"/>
      <c r="J40" s="47"/>
      <c r="K40" s="47"/>
      <c r="L40" s="47"/>
      <c r="M40" s="47"/>
    </row>
    <row r="41" spans="1:13" s="5" customFormat="1" ht="13.35" customHeight="1">
      <c r="A41" s="438" t="s">
        <v>318</v>
      </c>
      <c r="B41" s="47"/>
      <c r="C41" s="47"/>
      <c r="D41" s="47"/>
      <c r="E41" s="562"/>
      <c r="F41" s="362"/>
      <c r="G41" s="47"/>
      <c r="H41" s="47"/>
      <c r="I41" s="47"/>
      <c r="J41" s="47"/>
      <c r="K41" s="47"/>
      <c r="L41" s="47"/>
      <c r="M41" s="47"/>
    </row>
    <row r="42" spans="1:13" s="5" customFormat="1" ht="13.35" customHeight="1">
      <c r="A42" s="438" t="s">
        <v>319</v>
      </c>
      <c r="B42" s="47"/>
      <c r="C42" s="47"/>
      <c r="D42" s="47"/>
      <c r="E42" s="562"/>
      <c r="F42" s="362"/>
      <c r="G42" s="47"/>
      <c r="H42" s="47"/>
      <c r="I42" s="47"/>
      <c r="J42" s="47"/>
      <c r="K42" s="47"/>
      <c r="L42" s="47"/>
      <c r="M42" s="47"/>
    </row>
    <row r="43" spans="1:13" s="5" customFormat="1" ht="13.35" customHeight="1">
      <c r="A43" s="438" t="s">
        <v>320</v>
      </c>
      <c r="B43" s="47"/>
      <c r="C43" s="47"/>
      <c r="D43" s="47"/>
      <c r="E43" s="562"/>
      <c r="F43" s="362"/>
      <c r="G43" s="47"/>
      <c r="H43" s="47"/>
      <c r="I43" s="47"/>
      <c r="J43" s="47"/>
      <c r="K43" s="47"/>
      <c r="L43" s="47"/>
      <c r="M43" s="47"/>
    </row>
    <row r="44" spans="1:13" s="5" customFormat="1" ht="13.35" customHeight="1">
      <c r="A44" s="438" t="s">
        <v>321</v>
      </c>
      <c r="B44" s="47"/>
      <c r="C44" s="47"/>
      <c r="D44" s="47"/>
      <c r="E44" s="562"/>
      <c r="F44" s="362"/>
      <c r="G44" s="47"/>
      <c r="H44" s="47"/>
      <c r="I44" s="47"/>
      <c r="J44" s="47"/>
      <c r="K44" s="47"/>
      <c r="L44" s="47"/>
      <c r="M44" s="47"/>
    </row>
    <row r="45" spans="1:13" s="5" customFormat="1" ht="13.35" customHeight="1">
      <c r="A45" s="438" t="s">
        <v>322</v>
      </c>
      <c r="B45" s="47"/>
      <c r="C45" s="47"/>
      <c r="D45" s="47"/>
      <c r="E45" s="562"/>
      <c r="F45" s="362"/>
      <c r="G45" s="47"/>
      <c r="H45" s="47"/>
      <c r="I45" s="47"/>
      <c r="J45" s="47"/>
      <c r="K45" s="47"/>
      <c r="L45" s="47"/>
      <c r="M45" s="47"/>
    </row>
    <row r="46" spans="1:13" s="5" customFormat="1" ht="13.35" customHeight="1">
      <c r="A46" s="438" t="s">
        <v>323</v>
      </c>
      <c r="B46" s="47"/>
      <c r="C46" s="47"/>
      <c r="D46" s="47"/>
      <c r="E46" s="562"/>
      <c r="F46" s="362"/>
      <c r="G46" s="47"/>
      <c r="H46" s="47"/>
      <c r="I46" s="47"/>
      <c r="J46" s="47"/>
      <c r="K46" s="47"/>
      <c r="L46" s="47"/>
      <c r="M46" s="47"/>
    </row>
    <row r="47" spans="1:13" s="5" customFormat="1" ht="13.35" customHeight="1">
      <c r="A47" s="438" t="s">
        <v>324</v>
      </c>
      <c r="B47" s="47"/>
      <c r="C47" s="47"/>
      <c r="D47" s="47"/>
      <c r="E47" s="562"/>
      <c r="F47" s="362"/>
      <c r="G47" s="47"/>
      <c r="H47" s="47"/>
      <c r="I47" s="47"/>
      <c r="J47" s="47"/>
      <c r="K47" s="47"/>
      <c r="L47" s="47"/>
      <c r="M47" s="47"/>
    </row>
    <row r="48" spans="1:13" s="5" customFormat="1" ht="13.35" customHeight="1">
      <c r="A48" s="438" t="s">
        <v>325</v>
      </c>
      <c r="B48" s="47"/>
      <c r="C48" s="47"/>
      <c r="D48" s="47"/>
      <c r="E48" s="562"/>
      <c r="F48" s="362"/>
      <c r="G48" s="47"/>
      <c r="H48" s="47"/>
      <c r="I48" s="47"/>
      <c r="J48" s="47"/>
      <c r="K48" s="47"/>
      <c r="L48" s="47"/>
      <c r="M48" s="47"/>
    </row>
    <row r="49" spans="1:15" s="5" customFormat="1" ht="13.35" customHeight="1">
      <c r="A49" s="438" t="s">
        <v>326</v>
      </c>
      <c r="B49" s="47"/>
      <c r="C49" s="47"/>
      <c r="D49" s="47"/>
      <c r="E49" s="562"/>
      <c r="F49" s="362"/>
      <c r="G49" s="47"/>
      <c r="H49" s="47"/>
      <c r="I49" s="47"/>
      <c r="J49" s="47"/>
      <c r="K49" s="47"/>
      <c r="L49" s="47"/>
      <c r="M49" s="47"/>
      <c r="N49" s="46"/>
      <c r="O49" s="46"/>
    </row>
    <row r="50" spans="1:15" s="5" customFormat="1" ht="13.35" customHeight="1">
      <c r="A50" s="438" t="s">
        <v>327</v>
      </c>
      <c r="B50" s="47"/>
      <c r="C50" s="47"/>
      <c r="D50" s="47"/>
      <c r="E50" s="562"/>
      <c r="F50" s="362"/>
      <c r="G50" s="47"/>
      <c r="H50" s="47"/>
      <c r="I50" s="47"/>
      <c r="J50" s="47"/>
      <c r="K50" s="47"/>
      <c r="L50" s="47"/>
      <c r="M50" s="47"/>
      <c r="N50" s="46"/>
      <c r="O50" s="46"/>
    </row>
    <row r="51" spans="1:15" s="5" customFormat="1" ht="13.35" customHeight="1">
      <c r="A51" s="438" t="s">
        <v>328</v>
      </c>
      <c r="B51" s="47"/>
      <c r="C51" s="47"/>
      <c r="D51" s="47"/>
      <c r="E51" s="562"/>
      <c r="F51" s="362"/>
      <c r="G51" s="47"/>
      <c r="H51" s="47"/>
      <c r="I51" s="47"/>
      <c r="J51" s="47"/>
      <c r="K51" s="47"/>
      <c r="L51" s="47"/>
      <c r="M51" s="47"/>
      <c r="N51" s="46"/>
      <c r="O51" s="46"/>
    </row>
    <row r="52" spans="1:15" s="5" customFormat="1" ht="13.35" customHeight="1">
      <c r="A52" s="438" t="s">
        <v>329</v>
      </c>
      <c r="B52" s="47"/>
      <c r="C52" s="47"/>
      <c r="D52" s="47"/>
      <c r="E52" s="562"/>
      <c r="F52" s="362"/>
      <c r="G52" s="47"/>
      <c r="H52" s="47"/>
      <c r="I52" s="47"/>
      <c r="J52" s="47"/>
      <c r="K52" s="47"/>
      <c r="L52" s="47"/>
      <c r="M52" s="47"/>
      <c r="N52" s="46"/>
      <c r="O52" s="46"/>
    </row>
    <row r="53" spans="1:15" s="5" customFormat="1" ht="13.35" customHeight="1">
      <c r="A53" s="438" t="s">
        <v>330</v>
      </c>
      <c r="B53" s="47"/>
      <c r="C53" s="47"/>
      <c r="D53" s="47"/>
      <c r="E53" s="562"/>
      <c r="F53" s="362"/>
      <c r="G53" s="47"/>
      <c r="H53" s="47"/>
      <c r="I53" s="47"/>
      <c r="J53" s="47"/>
      <c r="K53" s="47"/>
      <c r="L53" s="47"/>
      <c r="M53" s="47"/>
      <c r="N53" s="46"/>
      <c r="O53" s="46"/>
    </row>
    <row r="54" spans="1:15" s="5" customFormat="1" ht="12" customHeight="1">
      <c r="A54" s="438"/>
      <c r="B54" s="47"/>
      <c r="C54" s="47"/>
      <c r="D54" s="47"/>
      <c r="E54" s="47"/>
      <c r="F54" s="115"/>
      <c r="G54" s="47"/>
      <c r="H54" s="47"/>
      <c r="I54" s="47"/>
      <c r="J54" s="47"/>
      <c r="K54" s="47"/>
      <c r="L54" s="47"/>
      <c r="M54" s="47"/>
      <c r="N54" s="46"/>
      <c r="O54" s="46"/>
    </row>
    <row r="55" spans="1:15" s="5" customFormat="1" ht="14.25" customHeight="1">
      <c r="A55" s="116" t="s">
        <v>196</v>
      </c>
      <c r="B55" s="47"/>
      <c r="C55" s="47"/>
      <c r="D55" s="47"/>
      <c r="E55" s="47"/>
      <c r="F55" s="586" t="s">
        <v>240</v>
      </c>
      <c r="G55" s="47"/>
      <c r="H55" s="47"/>
      <c r="I55" s="47"/>
      <c r="J55" s="47"/>
      <c r="K55" s="47"/>
      <c r="L55" s="47"/>
      <c r="M55" s="47"/>
      <c r="N55" s="46"/>
      <c r="O55" s="46"/>
    </row>
    <row r="56" spans="1:15" s="5" customFormat="1" ht="12.75" customHeight="1">
      <c r="A56" s="438"/>
      <c r="B56" s="47"/>
      <c r="C56" s="47"/>
      <c r="D56" s="47"/>
      <c r="E56" s="562"/>
      <c r="F56" s="587"/>
      <c r="G56" s="47"/>
      <c r="H56" s="47"/>
      <c r="I56" s="47"/>
      <c r="J56" s="47"/>
      <c r="K56" s="47"/>
      <c r="L56" s="47"/>
      <c r="M56" s="47"/>
      <c r="N56" s="46"/>
      <c r="O56" s="46"/>
    </row>
    <row r="57" spans="1:15" s="7" customFormat="1" ht="12.95">
      <c r="A57" s="21" t="s">
        <v>331</v>
      </c>
      <c r="B57" s="488"/>
      <c r="C57" s="488"/>
      <c r="D57" s="488"/>
      <c r="E57" s="588"/>
      <c r="F57" s="53">
        <v>800</v>
      </c>
      <c r="G57" s="114"/>
      <c r="H57" s="475"/>
      <c r="I57" s="475"/>
      <c r="J57" s="475"/>
      <c r="K57" s="475"/>
      <c r="L57" s="475"/>
      <c r="M57" s="475"/>
      <c r="N57" s="475"/>
      <c r="O57" s="475"/>
    </row>
    <row r="58" spans="1:15" s="7" customFormat="1" ht="12.75" customHeight="1">
      <c r="A58" s="47"/>
      <c r="B58" s="47"/>
      <c r="C58" s="475"/>
      <c r="D58" s="25"/>
      <c r="E58" s="25"/>
      <c r="F58" s="25"/>
      <c r="G58" s="25"/>
      <c r="H58" s="475"/>
      <c r="I58" s="26"/>
      <c r="J58" s="26"/>
      <c r="K58" s="32"/>
      <c r="L58" s="26"/>
      <c r="M58" s="475"/>
      <c r="N58" s="475"/>
      <c r="O58" s="475"/>
    </row>
    <row r="59" spans="1:15" s="5" customFormat="1" ht="12.75" customHeight="1">
      <c r="A59" s="9" t="s">
        <v>60</v>
      </c>
      <c r="B59" s="47"/>
      <c r="C59" s="47"/>
      <c r="D59" s="47"/>
      <c r="E59" s="47"/>
      <c r="F59" s="47"/>
      <c r="G59" s="47"/>
      <c r="H59" s="47"/>
      <c r="I59" s="47"/>
      <c r="J59" s="47"/>
      <c r="K59" s="47"/>
      <c r="L59" s="47"/>
      <c r="M59" s="47"/>
      <c r="N59" s="47"/>
      <c r="O59" s="47"/>
    </row>
    <row r="60" spans="1:15" s="6" customFormat="1" ht="17.45" customHeight="1">
      <c r="A60" s="47">
        <v>1</v>
      </c>
      <c r="B60" s="480" t="s">
        <v>61</v>
      </c>
      <c r="C60" s="480"/>
      <c r="D60" s="480"/>
      <c r="E60" s="480"/>
      <c r="F60" s="480"/>
      <c r="G60" s="480"/>
      <c r="H60" s="480"/>
      <c r="I60" s="480"/>
      <c r="J60" s="480"/>
      <c r="K60" s="480"/>
      <c r="L60" s="480"/>
      <c r="M60" s="480"/>
      <c r="N60" s="480"/>
      <c r="O60" s="480"/>
    </row>
    <row r="61" spans="1:15" s="6" customFormat="1">
      <c r="A61" s="47">
        <v>2</v>
      </c>
      <c r="B61" s="47" t="s">
        <v>121</v>
      </c>
      <c r="C61" s="10"/>
      <c r="D61" s="10"/>
      <c r="E61" s="10"/>
      <c r="F61" s="10"/>
      <c r="G61" s="10"/>
      <c r="H61" s="10"/>
      <c r="I61" s="10"/>
      <c r="J61" s="10"/>
      <c r="K61" s="10"/>
      <c r="L61" s="10"/>
      <c r="M61" s="10"/>
      <c r="N61" s="10"/>
      <c r="O61" s="10"/>
    </row>
    <row r="62" spans="1:15" s="6" customFormat="1">
      <c r="A62" s="47">
        <v>3</v>
      </c>
      <c r="B62" s="47" t="s">
        <v>122</v>
      </c>
      <c r="C62" s="10"/>
      <c r="D62" s="10"/>
      <c r="E62" s="10"/>
      <c r="F62" s="10"/>
      <c r="G62" s="10"/>
      <c r="H62" s="10"/>
      <c r="I62" s="10"/>
      <c r="J62" s="10"/>
      <c r="K62" s="10"/>
      <c r="L62" s="10"/>
      <c r="M62" s="10"/>
      <c r="N62" s="10"/>
      <c r="O62" s="10"/>
    </row>
    <row r="63" spans="1:15" s="6" customFormat="1">
      <c r="A63" s="47">
        <v>4</v>
      </c>
      <c r="B63" s="47" t="s">
        <v>332</v>
      </c>
      <c r="C63" s="10"/>
      <c r="D63" s="10"/>
      <c r="E63" s="10"/>
      <c r="F63" s="10"/>
      <c r="G63" s="10"/>
      <c r="H63" s="10"/>
      <c r="I63" s="10"/>
      <c r="J63" s="10"/>
      <c r="K63" s="10"/>
      <c r="L63" s="10"/>
      <c r="M63" s="10"/>
      <c r="N63" s="10"/>
      <c r="O63" s="10"/>
    </row>
    <row r="64" spans="1:15" s="6" customFormat="1" ht="9.9499999999999993">
      <c r="A64" s="10"/>
      <c r="B64" s="10"/>
      <c r="C64" s="10"/>
      <c r="D64" s="10"/>
      <c r="E64" s="10"/>
      <c r="F64" s="10"/>
      <c r="G64" s="10"/>
      <c r="H64" s="10"/>
      <c r="I64" s="10"/>
      <c r="J64" s="10"/>
      <c r="K64" s="10"/>
      <c r="L64" s="10"/>
      <c r="M64" s="10"/>
      <c r="N64" s="10"/>
      <c r="O64" s="10"/>
    </row>
    <row r="65" spans="1:15" s="6" customFormat="1" ht="9.9499999999999993">
      <c r="A65" s="10"/>
      <c r="B65" s="10"/>
      <c r="C65" s="10"/>
      <c r="D65" s="10"/>
      <c r="E65" s="10"/>
      <c r="F65" s="10"/>
      <c r="G65" s="10"/>
      <c r="H65" s="10"/>
      <c r="I65" s="10"/>
      <c r="J65" s="10"/>
      <c r="K65" s="10"/>
      <c r="L65" s="10"/>
      <c r="M65" s="10"/>
      <c r="N65" s="10"/>
      <c r="O65" s="10"/>
    </row>
    <row r="66" spans="1:15" s="6" customFormat="1" ht="9.9499999999999993">
      <c r="A66" s="10"/>
      <c r="B66" s="10"/>
      <c r="C66" s="10"/>
      <c r="D66" s="10"/>
      <c r="E66" s="10"/>
      <c r="F66" s="10"/>
      <c r="G66" s="10"/>
      <c r="H66" s="10"/>
      <c r="I66" s="10"/>
      <c r="J66" s="10"/>
      <c r="K66" s="10"/>
      <c r="L66" s="10"/>
      <c r="M66" s="10"/>
      <c r="N66" s="10"/>
      <c r="O66" s="10"/>
    </row>
    <row r="67" spans="1:15" s="6" customFormat="1" ht="9.9499999999999993">
      <c r="A67" s="10"/>
      <c r="B67" s="10"/>
      <c r="C67" s="10"/>
      <c r="D67" s="10"/>
      <c r="E67" s="10"/>
      <c r="F67" s="10"/>
      <c r="G67" s="10"/>
      <c r="H67" s="10"/>
      <c r="I67" s="10"/>
      <c r="J67" s="10"/>
      <c r="K67" s="10"/>
      <c r="L67" s="10"/>
      <c r="M67" s="10"/>
      <c r="N67" s="10"/>
      <c r="O67" s="10"/>
    </row>
    <row r="68" spans="1:15" s="6" customFormat="1" ht="9.9499999999999993">
      <c r="A68" s="10"/>
      <c r="B68" s="10"/>
      <c r="C68" s="10"/>
      <c r="D68" s="10"/>
      <c r="E68" s="10"/>
      <c r="F68" s="10"/>
      <c r="G68" s="10"/>
      <c r="H68" s="10"/>
      <c r="I68" s="10"/>
      <c r="J68" s="10"/>
      <c r="K68" s="10"/>
      <c r="L68" s="10"/>
      <c r="M68" s="10"/>
      <c r="N68" s="10"/>
      <c r="O68" s="10"/>
    </row>
    <row r="69" spans="1:15" s="6" customFormat="1" ht="9.9499999999999993">
      <c r="A69" s="10"/>
      <c r="B69" s="10"/>
      <c r="C69" s="10"/>
      <c r="D69" s="10"/>
      <c r="E69" s="10"/>
      <c r="F69" s="10"/>
      <c r="G69" s="10"/>
      <c r="H69" s="10"/>
      <c r="I69" s="10"/>
      <c r="J69" s="10"/>
      <c r="K69" s="10"/>
      <c r="L69" s="10"/>
      <c r="M69" s="10"/>
      <c r="N69" s="10"/>
      <c r="O69" s="10"/>
    </row>
    <row r="70" spans="1:15" s="6" customFormat="1" ht="9.9499999999999993">
      <c r="A70" s="10"/>
      <c r="B70" s="10"/>
      <c r="C70" s="10"/>
      <c r="D70" s="10"/>
      <c r="E70" s="10"/>
      <c r="F70" s="10"/>
      <c r="G70" s="10"/>
      <c r="H70" s="10"/>
      <c r="I70" s="10"/>
      <c r="J70" s="10"/>
      <c r="K70" s="10"/>
      <c r="L70" s="10"/>
      <c r="M70" s="10"/>
      <c r="N70" s="10"/>
      <c r="O70" s="10"/>
    </row>
    <row r="71" spans="1:15" s="6" customFormat="1" ht="9.9499999999999993">
      <c r="A71" s="10"/>
      <c r="B71" s="10"/>
      <c r="C71" s="10"/>
      <c r="D71" s="10"/>
      <c r="E71" s="10"/>
      <c r="F71" s="10"/>
      <c r="G71" s="10"/>
      <c r="H71" s="10"/>
      <c r="I71" s="10"/>
      <c r="J71" s="10"/>
      <c r="K71" s="10"/>
      <c r="L71" s="10"/>
      <c r="M71" s="10"/>
      <c r="N71" s="10"/>
      <c r="O71" s="10"/>
    </row>
    <row r="72" spans="1:15" s="6" customFormat="1" ht="9.9499999999999993">
      <c r="A72" s="10"/>
      <c r="B72" s="10"/>
      <c r="C72" s="10"/>
      <c r="D72" s="10"/>
      <c r="E72" s="10"/>
      <c r="F72" s="10"/>
      <c r="G72" s="10"/>
      <c r="H72" s="10"/>
      <c r="I72" s="10"/>
      <c r="J72" s="10"/>
      <c r="K72" s="10"/>
      <c r="L72" s="10"/>
      <c r="M72" s="10"/>
      <c r="N72" s="10"/>
      <c r="O72" s="10"/>
    </row>
    <row r="73" spans="1:15" s="6" customFormat="1" ht="9.9499999999999993">
      <c r="A73" s="10"/>
      <c r="B73" s="10"/>
      <c r="C73" s="10"/>
      <c r="D73" s="10"/>
      <c r="E73" s="10"/>
      <c r="F73" s="10"/>
      <c r="G73" s="10"/>
      <c r="H73" s="10"/>
      <c r="I73" s="10"/>
      <c r="J73" s="10"/>
      <c r="K73" s="10"/>
      <c r="L73" s="10"/>
      <c r="M73" s="10"/>
      <c r="N73" s="10"/>
      <c r="O73" s="10"/>
    </row>
    <row r="74" spans="1:15">
      <c r="A74" s="10"/>
      <c r="B74" s="10"/>
      <c r="C74" s="10"/>
      <c r="D74" s="10"/>
      <c r="E74" s="10"/>
      <c r="F74" s="10"/>
      <c r="G74" s="10"/>
      <c r="H74" s="10"/>
      <c r="I74" s="10"/>
    </row>
    <row r="75" spans="1:15">
      <c r="A75" s="10"/>
      <c r="B75" s="10"/>
      <c r="C75" s="10"/>
      <c r="D75" s="10"/>
      <c r="E75" s="10"/>
      <c r="F75" s="10"/>
      <c r="G75" s="10"/>
      <c r="H75" s="10"/>
      <c r="I75" s="10"/>
    </row>
    <row r="76" spans="1:15">
      <c r="A76" s="10"/>
      <c r="B76" s="10"/>
      <c r="C76" s="10"/>
      <c r="D76" s="10"/>
      <c r="E76" s="10"/>
      <c r="F76" s="10"/>
      <c r="G76" s="10"/>
      <c r="H76" s="10"/>
      <c r="I76" s="10"/>
    </row>
    <row r="77" spans="1:15">
      <c r="A77" s="10"/>
      <c r="B77" s="10"/>
      <c r="C77" s="10"/>
      <c r="D77" s="10"/>
      <c r="E77" s="10"/>
      <c r="F77" s="10"/>
      <c r="G77" s="10"/>
      <c r="H77" s="10"/>
      <c r="I77" s="10"/>
    </row>
  </sheetData>
  <mergeCells count="19">
    <mergeCell ref="B20:C21"/>
    <mergeCell ref="B27:C27"/>
    <mergeCell ref="D22:F22"/>
    <mergeCell ref="B25:C26"/>
    <mergeCell ref="K20:K21"/>
    <mergeCell ref="J20:J21"/>
    <mergeCell ref="G20:I21"/>
    <mergeCell ref="D20:F21"/>
    <mergeCell ref="H27:I27"/>
    <mergeCell ref="H25:I26"/>
    <mergeCell ref="F25:G26"/>
    <mergeCell ref="E25:E26"/>
    <mergeCell ref="D25:D26"/>
    <mergeCell ref="G22:I22"/>
    <mergeCell ref="B23:K23"/>
    <mergeCell ref="B22:C22"/>
    <mergeCell ref="B60:O60"/>
    <mergeCell ref="F38:F53"/>
    <mergeCell ref="F27:G27"/>
  </mergeCells>
  <phoneticPr fontId="12" type="noConversion"/>
  <pageMargins left="0.23622047244094491" right="0.23622047244094491" top="0.59055118110236227" bottom="0.59055118110236227" header="0.23622047244094491" footer="0.23622047244094491"/>
  <pageSetup paperSize="9" scale="62" orientation="landscape" r:id="rId1"/>
  <headerFooter alignWithMargins="0">
    <oddHeader>&amp;C&amp;"Arial,Bold"PLACEMENT SLIP
&amp;"Arial,Regular"&amp;8&amp;A&amp;R&amp;G</oddHeader>
    <oddFooter>&amp;LProceed cover
_____________________
Client Sign / Date&amp;C&amp;8This is to effect cover, not a contract. The signed qtn slip (if applic) and the policy form the basis of the contract.&amp;10
&amp;6E &amp;&amp; OE&amp;RConfirmed
_____________________
Insurer Sign / Date</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26A17-CA28-42F1-8B88-23E5EF44EE27}">
  <sheetPr>
    <tabColor rgb="FFFFFF00"/>
    <pageSetUpPr fitToPage="1"/>
  </sheetPr>
  <dimension ref="A1:I91"/>
  <sheetViews>
    <sheetView view="pageBreakPreview" zoomScale="70" zoomScaleNormal="70" zoomScaleSheetLayoutView="70" zoomScalePageLayoutView="85" workbookViewId="0"/>
  </sheetViews>
  <sheetFormatPr defaultColWidth="9.140625" defaultRowHeight="12.6"/>
  <cols>
    <col min="1" max="1" width="7.85546875" style="82" customWidth="1"/>
    <col min="2" max="2" width="35.5703125" style="82" customWidth="1"/>
    <col min="3" max="3" width="23.5703125" style="82" customWidth="1"/>
    <col min="4" max="4" width="13.42578125" style="82" customWidth="1"/>
    <col min="5" max="5" width="52.5703125" style="82" customWidth="1"/>
    <col min="6" max="6" width="15.7109375" style="82" customWidth="1"/>
    <col min="7" max="7" width="17.42578125" style="82" customWidth="1"/>
    <col min="8" max="8" width="28.5703125" style="82" customWidth="1"/>
    <col min="9" max="9" width="18.140625" style="82" customWidth="1"/>
    <col min="10" max="16384" width="9.140625" style="84"/>
  </cols>
  <sheetData>
    <row r="1" spans="1:9" ht="24.95">
      <c r="A1" s="81" t="s">
        <v>333</v>
      </c>
      <c r="D1" s="83"/>
    </row>
    <row r="2" spans="1:9" ht="15" customHeight="1">
      <c r="A2" s="81"/>
      <c r="D2" s="83"/>
    </row>
    <row r="3" spans="1:9" s="5" customFormat="1" ht="12.95">
      <c r="A3" s="9" t="s">
        <v>1</v>
      </c>
      <c r="B3" s="9"/>
      <c r="C3" s="47"/>
      <c r="D3" s="25"/>
      <c r="E3" s="47"/>
      <c r="F3" s="47"/>
      <c r="G3" s="47"/>
      <c r="H3" s="47"/>
      <c r="I3" s="47"/>
    </row>
    <row r="4" spans="1:9" s="5" customFormat="1" ht="12.95">
      <c r="A4" s="9" t="s">
        <v>2</v>
      </c>
      <c r="B4" s="9"/>
      <c r="C4" s="47" t="s">
        <v>3</v>
      </c>
      <c r="D4" s="25"/>
      <c r="E4" s="47"/>
      <c r="F4" s="47"/>
      <c r="G4" s="47"/>
      <c r="H4" s="47"/>
      <c r="I4" s="47"/>
    </row>
    <row r="5" spans="1:9" s="5" customFormat="1" ht="12.95">
      <c r="A5" s="9" t="s">
        <v>4</v>
      </c>
      <c r="B5" s="9"/>
      <c r="C5" s="47" t="s">
        <v>3</v>
      </c>
      <c r="D5" s="25"/>
      <c r="E5" s="47"/>
      <c r="F5" s="47"/>
      <c r="G5" s="47"/>
      <c r="H5" s="47"/>
      <c r="I5" s="47"/>
    </row>
    <row r="6" spans="1:9" s="5" customFormat="1" ht="12.95">
      <c r="A6" s="9" t="s">
        <v>5</v>
      </c>
      <c r="B6" s="9"/>
      <c r="C6" s="47" t="s">
        <v>6</v>
      </c>
      <c r="D6" s="25"/>
      <c r="E6" s="47"/>
      <c r="F6" s="47"/>
      <c r="G6" s="47"/>
      <c r="H6" s="47"/>
      <c r="I6" s="47"/>
    </row>
    <row r="7" spans="1:9" s="5" customFormat="1" ht="12.95">
      <c r="A7" s="9" t="s">
        <v>7</v>
      </c>
      <c r="B7" s="9"/>
      <c r="C7" s="47" t="s">
        <v>8</v>
      </c>
      <c r="D7" s="25"/>
      <c r="E7" s="47"/>
      <c r="F7" s="47"/>
      <c r="G7" s="47"/>
      <c r="H7" s="47"/>
      <c r="I7" s="47"/>
    </row>
    <row r="8" spans="1:9" s="5" customFormat="1" ht="12.95">
      <c r="A8" s="9" t="s">
        <v>9</v>
      </c>
      <c r="B8" s="9"/>
      <c r="C8" s="47" t="s">
        <v>10</v>
      </c>
      <c r="D8" s="47"/>
      <c r="E8" s="47"/>
      <c r="F8" s="47"/>
      <c r="G8" s="47"/>
      <c r="H8" s="47"/>
      <c r="I8" s="47"/>
    </row>
    <row r="9" spans="1:9" s="5" customFormat="1" ht="12.95">
      <c r="A9" s="9" t="s">
        <v>11</v>
      </c>
      <c r="B9" s="9"/>
      <c r="C9" s="163" t="s">
        <v>334</v>
      </c>
      <c r="D9" s="47"/>
      <c r="E9" s="47"/>
      <c r="F9" s="47"/>
      <c r="G9" s="47"/>
      <c r="H9" s="47"/>
      <c r="I9" s="47"/>
    </row>
    <row r="10" spans="1:9" s="5" customFormat="1" ht="12.95">
      <c r="A10" s="9" t="s">
        <v>13</v>
      </c>
      <c r="B10" s="9"/>
      <c r="C10" s="47"/>
      <c r="D10" s="47"/>
      <c r="E10" s="47"/>
      <c r="F10" s="47"/>
      <c r="G10" s="47"/>
      <c r="H10" s="47"/>
      <c r="I10" s="47"/>
    </row>
    <row r="11" spans="1:9" s="5" customFormat="1" ht="12.95">
      <c r="A11" s="9" t="s">
        <v>14</v>
      </c>
      <c r="B11" s="9"/>
      <c r="C11" s="47" t="s">
        <v>335</v>
      </c>
      <c r="D11" s="47"/>
      <c r="E11" s="47"/>
      <c r="F11" s="47"/>
      <c r="G11" s="47"/>
      <c r="H11" s="47"/>
      <c r="I11" s="47"/>
    </row>
    <row r="12" spans="1:9" s="5" customFormat="1" ht="12.95">
      <c r="A12" s="9"/>
      <c r="B12" s="9"/>
      <c r="C12" s="47"/>
      <c r="D12" s="47"/>
      <c r="E12" s="47"/>
      <c r="F12" s="47"/>
      <c r="G12" s="47"/>
      <c r="H12" s="47"/>
      <c r="I12" s="47"/>
    </row>
    <row r="13" spans="1:9" s="5" customFormat="1" ht="12.95">
      <c r="A13" s="9" t="s">
        <v>15</v>
      </c>
      <c r="B13" s="9"/>
      <c r="C13" s="47" t="s">
        <v>336</v>
      </c>
      <c r="D13" s="9"/>
      <c r="E13" s="47"/>
      <c r="F13" s="47"/>
      <c r="G13" s="47"/>
      <c r="H13" s="47"/>
      <c r="I13" s="47"/>
    </row>
    <row r="14" spans="1:9" s="5" customFormat="1" ht="12.95">
      <c r="A14" s="9" t="s">
        <v>17</v>
      </c>
      <c r="B14" s="9"/>
      <c r="C14" s="47" t="s">
        <v>18</v>
      </c>
      <c r="D14" s="9"/>
      <c r="E14" s="47"/>
      <c r="F14" s="47"/>
      <c r="G14" s="47"/>
      <c r="H14" s="47"/>
      <c r="I14" s="47"/>
    </row>
    <row r="15" spans="1:9" s="5" customFormat="1" ht="12.95">
      <c r="A15" s="9" t="s">
        <v>19</v>
      </c>
      <c r="B15" s="9"/>
      <c r="C15" s="416">
        <v>80</v>
      </c>
      <c r="D15" s="47"/>
      <c r="E15" s="47"/>
      <c r="F15" s="47"/>
      <c r="G15" s="47"/>
      <c r="H15" s="47"/>
      <c r="I15" s="47"/>
    </row>
    <row r="16" spans="1:9" s="5" customFormat="1" ht="12.95">
      <c r="A16" s="9"/>
      <c r="B16" s="47"/>
      <c r="C16" s="47"/>
      <c r="D16" s="47"/>
      <c r="E16" s="47"/>
      <c r="F16" s="9"/>
      <c r="G16" s="47"/>
      <c r="H16" s="47"/>
      <c r="I16" s="47"/>
    </row>
    <row r="17" spans="1:9" s="5" customFormat="1" ht="36.6" customHeight="1">
      <c r="A17" s="9" t="s">
        <v>21</v>
      </c>
      <c r="B17" s="47"/>
      <c r="C17" s="480" t="s">
        <v>337</v>
      </c>
      <c r="D17" s="480"/>
      <c r="E17" s="480"/>
      <c r="F17" s="9"/>
      <c r="G17" s="47"/>
      <c r="H17" s="47"/>
      <c r="I17" s="47"/>
    </row>
    <row r="19" spans="1:9" ht="12.95">
      <c r="A19" s="85" t="s">
        <v>23</v>
      </c>
    </row>
    <row r="20" spans="1:9" ht="18" customHeight="1">
      <c r="B20" s="321" t="s">
        <v>24</v>
      </c>
      <c r="C20" s="322"/>
      <c r="D20" s="321" t="s">
        <v>25</v>
      </c>
      <c r="E20" s="322"/>
      <c r="F20" s="222" t="s">
        <v>26</v>
      </c>
      <c r="G20" s="223" t="s">
        <v>338</v>
      </c>
      <c r="H20" s="223" t="s">
        <v>28</v>
      </c>
      <c r="I20" s="223" t="s">
        <v>339</v>
      </c>
    </row>
    <row r="21" spans="1:9" ht="31.7" customHeight="1">
      <c r="B21" s="328" t="s">
        <v>30</v>
      </c>
      <c r="C21" s="329"/>
      <c r="D21" s="371" t="s">
        <v>31</v>
      </c>
      <c r="E21" s="372"/>
      <c r="F21" s="231" t="s">
        <v>32</v>
      </c>
      <c r="G21" s="589">
        <v>1</v>
      </c>
      <c r="H21" s="589" t="s">
        <v>340</v>
      </c>
      <c r="I21" s="291">
        <f>20000*36</f>
        <v>720000</v>
      </c>
    </row>
    <row r="22" spans="1:9" ht="32.450000000000003" customHeight="1">
      <c r="B22" s="330"/>
      <c r="C22" s="331"/>
      <c r="D22" s="373" t="s">
        <v>34</v>
      </c>
      <c r="E22" s="374"/>
      <c r="F22" s="228" t="s">
        <v>32</v>
      </c>
      <c r="G22" s="449">
        <v>1</v>
      </c>
      <c r="H22" s="449" t="s">
        <v>341</v>
      </c>
      <c r="I22" s="242">
        <f>11500*12</f>
        <v>138000</v>
      </c>
    </row>
    <row r="23" spans="1:9" ht="12.95">
      <c r="A23" s="85"/>
      <c r="B23" s="85" t="s">
        <v>342</v>
      </c>
      <c r="F23" s="85"/>
    </row>
    <row r="24" spans="1:9" ht="12.95">
      <c r="A24" s="85"/>
      <c r="B24" s="85"/>
      <c r="F24" s="85"/>
    </row>
    <row r="25" spans="1:9" ht="12.95">
      <c r="B25" s="85"/>
      <c r="C25" s="85"/>
      <c r="D25" s="85"/>
    </row>
    <row r="26" spans="1:9" ht="30" customHeight="1">
      <c r="A26" s="85" t="s">
        <v>37</v>
      </c>
      <c r="B26" s="321" t="s">
        <v>24</v>
      </c>
      <c r="C26" s="322"/>
      <c r="D26" s="321" t="s">
        <v>31</v>
      </c>
      <c r="E26" s="322"/>
      <c r="F26" s="222" t="s">
        <v>38</v>
      </c>
      <c r="G26" s="230" t="s">
        <v>39</v>
      </c>
      <c r="H26" s="223" t="s">
        <v>40</v>
      </c>
      <c r="I26" s="89"/>
    </row>
    <row r="27" spans="1:9">
      <c r="B27" s="328" t="s">
        <v>30</v>
      </c>
      <c r="C27" s="329"/>
      <c r="D27" s="328" t="s">
        <v>31</v>
      </c>
      <c r="E27" s="329"/>
      <c r="F27" s="243">
        <f>I21</f>
        <v>720000</v>
      </c>
      <c r="G27" s="590">
        <v>5.0000000000000001E-4</v>
      </c>
      <c r="H27" s="236">
        <f>F27*G27</f>
        <v>360</v>
      </c>
    </row>
    <row r="28" spans="1:9">
      <c r="B28" s="330"/>
      <c r="C28" s="375"/>
      <c r="D28" s="330" t="s">
        <v>34</v>
      </c>
      <c r="E28" s="331"/>
      <c r="F28" s="292">
        <f>I22</f>
        <v>138000</v>
      </c>
      <c r="G28" s="591">
        <v>5.0000000000000001E-4</v>
      </c>
      <c r="H28" s="237">
        <f>F28*G28</f>
        <v>69</v>
      </c>
    </row>
    <row r="29" spans="1:9">
      <c r="D29" s="194"/>
      <c r="E29" s="194"/>
      <c r="F29" s="195"/>
      <c r="G29" s="196"/>
      <c r="H29" s="197"/>
    </row>
    <row r="30" spans="1:9" ht="12.95">
      <c r="B30" s="369" t="s">
        <v>343</v>
      </c>
      <c r="C30" s="370"/>
      <c r="D30" s="194"/>
      <c r="E30" s="194"/>
      <c r="F30" s="195"/>
      <c r="G30" s="196"/>
      <c r="H30" s="197"/>
    </row>
    <row r="31" spans="1:9">
      <c r="B31" s="198" t="s">
        <v>344</v>
      </c>
      <c r="C31" s="198" t="s">
        <v>345</v>
      </c>
      <c r="D31" s="194"/>
      <c r="E31" s="194"/>
      <c r="F31" s="195"/>
      <c r="G31" s="196"/>
      <c r="H31" s="197"/>
    </row>
    <row r="32" spans="1:9">
      <c r="B32" s="198" t="s">
        <v>346</v>
      </c>
      <c r="C32" s="199">
        <v>0</v>
      </c>
      <c r="D32" s="194"/>
      <c r="E32" s="194"/>
      <c r="F32" s="195"/>
      <c r="G32" s="196"/>
      <c r="H32" s="197"/>
    </row>
    <row r="33" spans="1:9">
      <c r="B33" s="198" t="s">
        <v>347</v>
      </c>
      <c r="C33" s="199">
        <v>0.35</v>
      </c>
      <c r="D33" s="194"/>
      <c r="E33" s="194"/>
      <c r="F33" s="195"/>
      <c r="G33" s="196"/>
      <c r="H33" s="197"/>
    </row>
    <row r="34" spans="1:9">
      <c r="B34" s="198" t="s">
        <v>348</v>
      </c>
      <c r="C34" s="199">
        <v>0.55000000000000004</v>
      </c>
      <c r="D34" s="194"/>
      <c r="E34" s="194"/>
      <c r="F34" s="195"/>
      <c r="G34" s="196"/>
      <c r="H34" s="197"/>
    </row>
    <row r="35" spans="1:9">
      <c r="B35" s="198" t="s">
        <v>349</v>
      </c>
      <c r="C35" s="199">
        <v>0.75</v>
      </c>
      <c r="D35" s="194"/>
      <c r="E35" s="194"/>
      <c r="F35" s="195"/>
      <c r="G35" s="196"/>
      <c r="H35" s="197"/>
    </row>
    <row r="36" spans="1:9">
      <c r="B36" s="198" t="s">
        <v>350</v>
      </c>
      <c r="C36" s="199">
        <v>0.8</v>
      </c>
      <c r="D36" s="194"/>
      <c r="E36" s="194"/>
      <c r="F36" s="195"/>
      <c r="G36" s="196"/>
      <c r="H36" s="197"/>
    </row>
    <row r="37" spans="1:9" ht="12.95">
      <c r="A37" s="85"/>
      <c r="F37" s="85"/>
    </row>
    <row r="38" spans="1:9" ht="12.95">
      <c r="A38" s="85" t="s">
        <v>351</v>
      </c>
      <c r="B38" s="85"/>
      <c r="C38" s="376">
        <f>SUM(H27:H28)</f>
        <v>429</v>
      </c>
      <c r="D38" s="376"/>
      <c r="E38" s="82" t="s">
        <v>352</v>
      </c>
      <c r="F38" s="90"/>
    </row>
    <row r="39" spans="1:9" ht="12.95">
      <c r="A39" s="85"/>
      <c r="B39" s="85"/>
      <c r="C39" s="85"/>
      <c r="D39" s="85"/>
      <c r="F39" s="90"/>
    </row>
    <row r="40" spans="1:9" ht="12.95">
      <c r="A40" s="85" t="s">
        <v>44</v>
      </c>
      <c r="B40" s="85"/>
      <c r="C40" s="377">
        <v>1000000</v>
      </c>
      <c r="D40" s="377"/>
      <c r="F40" s="90"/>
    </row>
    <row r="41" spans="1:9" ht="12.95">
      <c r="A41" s="85"/>
      <c r="B41" s="85"/>
      <c r="C41" s="91"/>
      <c r="D41" s="91"/>
      <c r="F41" s="90"/>
    </row>
    <row r="42" spans="1:9" ht="12.95">
      <c r="A42" s="85" t="s">
        <v>70</v>
      </c>
      <c r="B42" s="85" t="s">
        <v>353</v>
      </c>
    </row>
    <row r="43" spans="1:9" ht="12.95">
      <c r="A43" s="92" t="s">
        <v>354</v>
      </c>
      <c r="B43" s="93"/>
      <c r="C43" s="93"/>
      <c r="D43" s="94"/>
      <c r="E43" s="95"/>
      <c r="I43" s="84"/>
    </row>
    <row r="44" spans="1:9" ht="63.6" customHeight="1">
      <c r="A44" s="96"/>
      <c r="B44" s="97" t="s">
        <v>355</v>
      </c>
      <c r="C44" s="97"/>
      <c r="D44" s="98"/>
      <c r="E44" s="99" t="s">
        <v>356</v>
      </c>
      <c r="I44" s="84"/>
    </row>
    <row r="45" spans="1:9" ht="12.95">
      <c r="A45" s="100"/>
      <c r="B45" s="85"/>
      <c r="C45" s="85"/>
      <c r="E45" s="101"/>
      <c r="I45" s="84"/>
    </row>
    <row r="46" spans="1:9" ht="12.95">
      <c r="A46" s="100">
        <v>1</v>
      </c>
      <c r="B46" s="85" t="s">
        <v>48</v>
      </c>
      <c r="C46" s="85"/>
      <c r="E46" s="102" t="s">
        <v>357</v>
      </c>
      <c r="I46" s="84"/>
    </row>
    <row r="47" spans="1:9">
      <c r="A47" s="88"/>
      <c r="B47" s="82" t="s">
        <v>358</v>
      </c>
      <c r="E47" s="102"/>
      <c r="I47" s="84"/>
    </row>
    <row r="48" spans="1:9" ht="12.95">
      <c r="A48" s="100">
        <v>2</v>
      </c>
      <c r="B48" s="85" t="s">
        <v>359</v>
      </c>
      <c r="C48" s="85"/>
      <c r="E48" s="102" t="s">
        <v>360</v>
      </c>
      <c r="I48" s="84"/>
    </row>
    <row r="49" spans="1:9" ht="12.95">
      <c r="A49" s="88"/>
      <c r="B49" s="85" t="s">
        <v>358</v>
      </c>
      <c r="E49" s="103"/>
      <c r="I49" s="84"/>
    </row>
    <row r="50" spans="1:9" ht="20.25" customHeight="1">
      <c r="A50" s="100">
        <v>3</v>
      </c>
      <c r="B50" s="85" t="s">
        <v>361</v>
      </c>
      <c r="E50" s="102" t="s">
        <v>362</v>
      </c>
      <c r="I50" s="84"/>
    </row>
    <row r="51" spans="1:9">
      <c r="A51" s="88"/>
      <c r="B51" s="82" t="s">
        <v>358</v>
      </c>
      <c r="E51" s="103"/>
      <c r="I51" s="84"/>
    </row>
    <row r="52" spans="1:9" ht="129.6" customHeight="1">
      <c r="A52" s="104">
        <v>4</v>
      </c>
      <c r="B52" s="85" t="s">
        <v>363</v>
      </c>
      <c r="E52" s="105" t="s">
        <v>364</v>
      </c>
      <c r="I52" s="84"/>
    </row>
    <row r="53" spans="1:9" ht="12.95">
      <c r="A53" s="104"/>
      <c r="B53" s="85"/>
      <c r="E53" s="106"/>
      <c r="I53" s="84"/>
    </row>
    <row r="54" spans="1:9" ht="12.95">
      <c r="A54" s="100">
        <v>5</v>
      </c>
      <c r="B54" s="107" t="s">
        <v>365</v>
      </c>
      <c r="C54" s="87"/>
      <c r="E54" s="99"/>
      <c r="I54" s="84"/>
    </row>
    <row r="55" spans="1:9" ht="47.45" customHeight="1">
      <c r="A55" s="108" t="s">
        <v>294</v>
      </c>
      <c r="B55" s="86" t="s">
        <v>366</v>
      </c>
      <c r="C55" s="109"/>
      <c r="E55" s="99" t="s">
        <v>367</v>
      </c>
      <c r="I55" s="84"/>
    </row>
    <row r="56" spans="1:9" ht="127.35" customHeight="1">
      <c r="A56" s="108" t="s">
        <v>294</v>
      </c>
      <c r="B56" s="327" t="s">
        <v>368</v>
      </c>
      <c r="C56" s="327"/>
      <c r="D56" s="367"/>
      <c r="E56" s="99" t="s">
        <v>369</v>
      </c>
      <c r="I56" s="84"/>
    </row>
    <row r="57" spans="1:9" ht="50.45" customHeight="1">
      <c r="A57" s="108" t="s">
        <v>294</v>
      </c>
      <c r="B57" s="327" t="s">
        <v>370</v>
      </c>
      <c r="C57" s="327"/>
      <c r="D57" s="367"/>
      <c r="E57" s="99" t="s">
        <v>371</v>
      </c>
      <c r="I57" s="84"/>
    </row>
    <row r="58" spans="1:9" ht="52.35" customHeight="1">
      <c r="A58" s="264" t="s">
        <v>294</v>
      </c>
      <c r="B58" s="365" t="s">
        <v>372</v>
      </c>
      <c r="C58" s="365"/>
      <c r="D58" s="366"/>
      <c r="E58" s="265" t="s">
        <v>373</v>
      </c>
      <c r="I58" s="84"/>
    </row>
    <row r="59" spans="1:9" ht="175.7" customHeight="1">
      <c r="A59" s="266" t="s">
        <v>294</v>
      </c>
      <c r="B59" s="381" t="s">
        <v>374</v>
      </c>
      <c r="C59" s="381"/>
      <c r="D59" s="382"/>
      <c r="E59" s="267" t="s">
        <v>375</v>
      </c>
      <c r="I59" s="84"/>
    </row>
    <row r="60" spans="1:9" ht="100.7" customHeight="1">
      <c r="A60" s="108" t="s">
        <v>294</v>
      </c>
      <c r="B60" s="327" t="s">
        <v>376</v>
      </c>
      <c r="C60" s="327"/>
      <c r="D60" s="367"/>
      <c r="E60" s="99" t="s">
        <v>377</v>
      </c>
      <c r="I60" s="84"/>
    </row>
    <row r="61" spans="1:9" ht="43.7" customHeight="1">
      <c r="A61" s="108" t="s">
        <v>294</v>
      </c>
      <c r="B61" s="327" t="s">
        <v>378</v>
      </c>
      <c r="C61" s="327"/>
      <c r="D61" s="327"/>
      <c r="E61" s="99" t="s">
        <v>379</v>
      </c>
      <c r="I61" s="84"/>
    </row>
    <row r="62" spans="1:9" ht="69.599999999999994" customHeight="1">
      <c r="A62" s="110" t="s">
        <v>294</v>
      </c>
      <c r="B62" s="327" t="s">
        <v>380</v>
      </c>
      <c r="C62" s="327"/>
      <c r="D62" s="367"/>
      <c r="E62" s="99" t="s">
        <v>381</v>
      </c>
      <c r="I62" s="84"/>
    </row>
    <row r="63" spans="1:9" ht="103.35" customHeight="1">
      <c r="A63" s="108" t="s">
        <v>382</v>
      </c>
      <c r="B63" s="368" t="s">
        <v>383</v>
      </c>
      <c r="C63" s="368"/>
      <c r="D63" s="368"/>
      <c r="E63" s="99" t="s">
        <v>384</v>
      </c>
      <c r="I63" s="84"/>
    </row>
    <row r="64" spans="1:9" ht="202.7" customHeight="1">
      <c r="A64" s="264" t="s">
        <v>294</v>
      </c>
      <c r="B64" s="365" t="s">
        <v>385</v>
      </c>
      <c r="C64" s="365"/>
      <c r="D64" s="366"/>
      <c r="E64" s="265" t="s">
        <v>386</v>
      </c>
      <c r="I64" s="84"/>
    </row>
    <row r="65" spans="1:9" ht="85.7" customHeight="1">
      <c r="A65" s="268" t="s">
        <v>294</v>
      </c>
      <c r="B65" s="383" t="s">
        <v>387</v>
      </c>
      <c r="C65" s="383"/>
      <c r="D65" s="383"/>
      <c r="E65" s="269" t="s">
        <v>388</v>
      </c>
      <c r="I65" s="84"/>
    </row>
    <row r="66" spans="1:9" ht="84.6" customHeight="1">
      <c r="A66" s="113" t="s">
        <v>294</v>
      </c>
      <c r="B66" s="379" t="s">
        <v>112</v>
      </c>
      <c r="C66" s="379"/>
      <c r="D66" s="380"/>
      <c r="E66" s="137" t="s">
        <v>389</v>
      </c>
      <c r="I66" s="84"/>
    </row>
    <row r="67" spans="1:9" ht="87" customHeight="1">
      <c r="A67" s="113" t="s">
        <v>382</v>
      </c>
      <c r="B67" s="379" t="s">
        <v>390</v>
      </c>
      <c r="C67" s="379"/>
      <c r="D67" s="380"/>
      <c r="E67" s="136" t="s">
        <v>391</v>
      </c>
      <c r="I67" s="84"/>
    </row>
    <row r="68" spans="1:9" ht="50.45" customHeight="1">
      <c r="A68" s="108" t="s">
        <v>294</v>
      </c>
      <c r="B68" s="327" t="s">
        <v>392</v>
      </c>
      <c r="C68" s="327"/>
      <c r="D68" s="367"/>
      <c r="E68" s="99" t="s">
        <v>393</v>
      </c>
      <c r="I68" s="84"/>
    </row>
    <row r="69" spans="1:9" ht="72.599999999999994" customHeight="1">
      <c r="A69" s="108" t="s">
        <v>294</v>
      </c>
      <c r="B69" s="327" t="s">
        <v>394</v>
      </c>
      <c r="C69" s="327"/>
      <c r="D69" s="367"/>
      <c r="E69" s="99" t="s">
        <v>395</v>
      </c>
      <c r="I69" s="84"/>
    </row>
    <row r="70" spans="1:9" ht="76.349999999999994" customHeight="1">
      <c r="A70" s="108" t="s">
        <v>294</v>
      </c>
      <c r="B70" s="327" t="s">
        <v>396</v>
      </c>
      <c r="C70" s="327"/>
      <c r="D70" s="367"/>
      <c r="E70" s="99" t="s">
        <v>397</v>
      </c>
      <c r="I70" s="84"/>
    </row>
    <row r="71" spans="1:9" ht="75" customHeight="1">
      <c r="A71" s="108" t="s">
        <v>294</v>
      </c>
      <c r="B71" s="327" t="s">
        <v>398</v>
      </c>
      <c r="C71" s="327"/>
      <c r="D71" s="367"/>
      <c r="E71" s="99" t="s">
        <v>399</v>
      </c>
      <c r="I71" s="84"/>
    </row>
    <row r="72" spans="1:9" ht="69.599999999999994" customHeight="1">
      <c r="A72" s="108" t="s">
        <v>294</v>
      </c>
      <c r="B72" s="327" t="s">
        <v>400</v>
      </c>
      <c r="C72" s="327"/>
      <c r="D72" s="367"/>
      <c r="E72" s="99" t="s">
        <v>401</v>
      </c>
      <c r="I72" s="84"/>
    </row>
    <row r="73" spans="1:9" ht="78.599999999999994" customHeight="1">
      <c r="A73" s="108" t="s">
        <v>294</v>
      </c>
      <c r="B73" s="327" t="s">
        <v>402</v>
      </c>
      <c r="C73" s="327"/>
      <c r="D73" s="367"/>
      <c r="E73" s="99" t="s">
        <v>403</v>
      </c>
      <c r="I73" s="84"/>
    </row>
    <row r="74" spans="1:9" ht="46.7" customHeight="1">
      <c r="A74" s="108" t="s">
        <v>294</v>
      </c>
      <c r="B74" s="327" t="s">
        <v>404</v>
      </c>
      <c r="C74" s="327"/>
      <c r="D74" s="367"/>
      <c r="E74" s="99" t="s">
        <v>405</v>
      </c>
      <c r="I74" s="84"/>
    </row>
    <row r="75" spans="1:9" ht="15.75" customHeight="1">
      <c r="A75" s="142"/>
      <c r="B75" s="143" t="s">
        <v>406</v>
      </c>
      <c r="C75" s="143"/>
      <c r="D75" s="143"/>
      <c r="E75" s="166" t="s">
        <v>407</v>
      </c>
      <c r="I75" s="84"/>
    </row>
    <row r="76" spans="1:9" ht="15.75" customHeight="1">
      <c r="B76" s="85"/>
      <c r="E76" s="87"/>
      <c r="I76" s="84"/>
    </row>
    <row r="77" spans="1:9" ht="12.95">
      <c r="B77" s="85"/>
      <c r="E77" s="111"/>
      <c r="I77" s="84"/>
    </row>
    <row r="78" spans="1:9" ht="12.95">
      <c r="A78" s="85" t="s">
        <v>60</v>
      </c>
      <c r="B78" s="85"/>
      <c r="E78" s="111"/>
      <c r="I78" s="84"/>
    </row>
    <row r="79" spans="1:9" s="82" customFormat="1">
      <c r="A79" s="82">
        <v>1</v>
      </c>
      <c r="B79" s="82" t="s">
        <v>408</v>
      </c>
      <c r="D79" s="127"/>
      <c r="E79" s="127"/>
      <c r="F79" s="127"/>
    </row>
    <row r="80" spans="1:9" s="82" customFormat="1" ht="57.75" customHeight="1">
      <c r="B80" s="378" t="s">
        <v>409</v>
      </c>
      <c r="C80" s="378"/>
      <c r="D80" s="378"/>
      <c r="E80" s="378"/>
      <c r="F80" s="378"/>
      <c r="G80" s="378"/>
      <c r="H80" s="378"/>
      <c r="I80" s="378"/>
    </row>
    <row r="81" spans="1:8">
      <c r="A81" s="47">
        <v>2</v>
      </c>
      <c r="B81" s="47" t="s">
        <v>121</v>
      </c>
      <c r="C81" s="47"/>
      <c r="D81" s="47"/>
      <c r="E81" s="47"/>
      <c r="F81" s="47"/>
      <c r="G81" s="47"/>
      <c r="H81" s="47"/>
    </row>
    <row r="82" spans="1:8">
      <c r="A82" s="47">
        <v>3</v>
      </c>
      <c r="B82" s="47" t="s">
        <v>122</v>
      </c>
      <c r="C82" s="47"/>
      <c r="D82" s="47"/>
      <c r="E82" s="47"/>
      <c r="F82" s="47"/>
      <c r="G82" s="47"/>
      <c r="H82" s="47"/>
    </row>
    <row r="85" spans="1:8" ht="12.95">
      <c r="A85" s="85" t="s">
        <v>410</v>
      </c>
    </row>
    <row r="86" spans="1:8">
      <c r="A86" s="82">
        <v>1</v>
      </c>
      <c r="B86" s="82" t="s">
        <v>411</v>
      </c>
    </row>
    <row r="87" spans="1:8">
      <c r="A87" s="82">
        <v>2</v>
      </c>
      <c r="B87" s="82" t="s">
        <v>412</v>
      </c>
    </row>
    <row r="88" spans="1:8">
      <c r="A88" s="82">
        <v>3</v>
      </c>
      <c r="B88" s="82" t="s">
        <v>413</v>
      </c>
    </row>
    <row r="89" spans="1:8">
      <c r="A89" s="82">
        <v>4</v>
      </c>
      <c r="B89" s="82" t="s">
        <v>414</v>
      </c>
    </row>
    <row r="90" spans="1:8">
      <c r="A90" s="82">
        <v>5</v>
      </c>
      <c r="B90" s="82" t="s">
        <v>415</v>
      </c>
    </row>
    <row r="91" spans="1:8">
      <c r="A91" s="82">
        <v>6</v>
      </c>
      <c r="B91" s="82" t="s">
        <v>416</v>
      </c>
    </row>
  </sheetData>
  <mergeCells count="34">
    <mergeCell ref="B80:I80"/>
    <mergeCell ref="B58:D58"/>
    <mergeCell ref="B73:D73"/>
    <mergeCell ref="B60:D60"/>
    <mergeCell ref="B66:D66"/>
    <mergeCell ref="B59:D59"/>
    <mergeCell ref="B65:D65"/>
    <mergeCell ref="B67:D67"/>
    <mergeCell ref="B74:D74"/>
    <mergeCell ref="B71:D71"/>
    <mergeCell ref="B69:D69"/>
    <mergeCell ref="B72:D72"/>
    <mergeCell ref="B70:D70"/>
    <mergeCell ref="C17:E17"/>
    <mergeCell ref="B30:C30"/>
    <mergeCell ref="B62:D62"/>
    <mergeCell ref="B56:D56"/>
    <mergeCell ref="D21:E21"/>
    <mergeCell ref="D22:E22"/>
    <mergeCell ref="D27:E27"/>
    <mergeCell ref="B27:C28"/>
    <mergeCell ref="B61:D61"/>
    <mergeCell ref="C38:D38"/>
    <mergeCell ref="B20:C20"/>
    <mergeCell ref="D20:E20"/>
    <mergeCell ref="B26:C26"/>
    <mergeCell ref="D26:E26"/>
    <mergeCell ref="C40:D40"/>
    <mergeCell ref="B57:D57"/>
    <mergeCell ref="B21:C22"/>
    <mergeCell ref="D28:E28"/>
    <mergeCell ref="B64:D64"/>
    <mergeCell ref="B68:D68"/>
    <mergeCell ref="B63:D63"/>
  </mergeCells>
  <phoneticPr fontId="8" type="noConversion"/>
  <pageMargins left="0.23622047244094491" right="0.23622047244094491" top="0.59055118110236227" bottom="0.59055118110236227" header="0.23622047244094491" footer="0.23622047244094491"/>
  <pageSetup paperSize="9" scale="68" fitToHeight="0" orientation="landscape" r:id="rId1"/>
  <headerFooter alignWithMargins="0">
    <oddHeader>&amp;C&amp;"Arial,Bold"PLACEMENT SLIP
&amp;"Arial,Regular"&amp;8&amp;A&amp;R&amp;G</oddHeader>
    <oddFooter>&amp;LProceed cover
_____________________
Client Sign / Date&amp;C&amp;8This is to effect cover, not a contract. The signed qtn slip (if applic) and the policy form the basis of the contract.&amp;10
&amp;6E &amp;&amp; OE&amp;RConfirmed
_____________________
Insurer Sign / Date</oddFooter>
  </headerFooter>
  <rowBreaks count="3" manualBreakCount="3">
    <brk id="41" max="8" man="1"/>
    <brk id="58" max="8" man="1"/>
    <brk id="64" max="8" man="1"/>
  </rowBreak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410A-2DB2-4AC0-9662-938895BA0195}">
  <sheetPr>
    <tabColor rgb="FFFFFF00"/>
    <pageSetUpPr fitToPage="1"/>
  </sheetPr>
  <dimension ref="A1:J89"/>
  <sheetViews>
    <sheetView view="pageBreakPreview" zoomScale="70" zoomScaleNormal="70" zoomScaleSheetLayoutView="70" workbookViewId="0"/>
  </sheetViews>
  <sheetFormatPr defaultColWidth="9.140625" defaultRowHeight="12.6"/>
  <cols>
    <col min="1" max="1" width="8.5703125" style="82" customWidth="1"/>
    <col min="2" max="2" width="21.42578125" style="82" customWidth="1"/>
    <col min="3" max="3" width="69.42578125" style="82" customWidth="1"/>
    <col min="4" max="6" width="25.5703125" style="82" customWidth="1"/>
    <col min="7" max="7" width="23.42578125" style="82" customWidth="1"/>
    <col min="8" max="8" width="21.85546875" style="82" customWidth="1"/>
    <col min="9" max="9" width="12.85546875" style="82" customWidth="1"/>
    <col min="10" max="10" width="9.140625" style="82"/>
    <col min="11" max="16384" width="9.140625" style="84"/>
  </cols>
  <sheetData>
    <row r="1" spans="1:8" ht="24.95">
      <c r="A1" s="81" t="s">
        <v>417</v>
      </c>
      <c r="D1" s="83"/>
    </row>
    <row r="2" spans="1:8" ht="15" customHeight="1">
      <c r="A2" s="81"/>
      <c r="D2" s="83"/>
    </row>
    <row r="3" spans="1:8" ht="12.95">
      <c r="A3" s="85" t="s">
        <v>1</v>
      </c>
      <c r="B3" s="85"/>
      <c r="D3" s="158"/>
    </row>
    <row r="4" spans="1:8" ht="12.95">
      <c r="A4" s="85" t="s">
        <v>2</v>
      </c>
      <c r="B4" s="85"/>
      <c r="C4" s="311" t="s">
        <v>3</v>
      </c>
      <c r="D4" s="158"/>
    </row>
    <row r="5" spans="1:8" ht="12.95">
      <c r="A5" s="85" t="s">
        <v>4</v>
      </c>
      <c r="B5" s="85"/>
      <c r="C5" s="385" t="s">
        <v>3</v>
      </c>
      <c r="D5" s="368"/>
      <c r="E5" s="368"/>
      <c r="F5" s="368"/>
      <c r="G5" s="368"/>
      <c r="H5" s="368"/>
    </row>
    <row r="6" spans="1:8" ht="12.95">
      <c r="A6" s="85" t="s">
        <v>5</v>
      </c>
      <c r="B6" s="85"/>
      <c r="C6" s="82" t="s">
        <v>6</v>
      </c>
      <c r="D6" s="158"/>
    </row>
    <row r="7" spans="1:8" ht="12.95">
      <c r="A7" s="85" t="s">
        <v>7</v>
      </c>
      <c r="B7" s="85"/>
      <c r="C7" s="82" t="s">
        <v>8</v>
      </c>
      <c r="D7" s="158"/>
    </row>
    <row r="8" spans="1:8" ht="12.95">
      <c r="A8" s="85" t="s">
        <v>9</v>
      </c>
      <c r="B8" s="85"/>
      <c r="C8" s="82" t="s">
        <v>10</v>
      </c>
    </row>
    <row r="9" spans="1:8" ht="12.95">
      <c r="A9" s="85" t="s">
        <v>11</v>
      </c>
      <c r="C9" s="163" t="s">
        <v>334</v>
      </c>
      <c r="D9" s="85"/>
      <c r="E9" s="85"/>
      <c r="F9" s="85"/>
      <c r="G9" s="85"/>
      <c r="H9" s="85"/>
    </row>
    <row r="10" spans="1:8" ht="12.95">
      <c r="A10" s="85" t="s">
        <v>13</v>
      </c>
    </row>
    <row r="11" spans="1:8" ht="12.95">
      <c r="A11" s="85" t="s">
        <v>14</v>
      </c>
      <c r="C11" s="386" t="s">
        <v>418</v>
      </c>
      <c r="D11" s="327"/>
    </row>
    <row r="12" spans="1:8" ht="12.95">
      <c r="A12" s="107"/>
      <c r="B12" s="85"/>
      <c r="C12" s="85"/>
      <c r="D12" s="85"/>
    </row>
    <row r="13" spans="1:8" ht="12.95">
      <c r="A13" s="85" t="s">
        <v>15</v>
      </c>
      <c r="B13" s="85"/>
      <c r="C13" s="82" t="s">
        <v>419</v>
      </c>
      <c r="D13" s="85"/>
    </row>
    <row r="14" spans="1:8" ht="12.95">
      <c r="A14" s="85" t="s">
        <v>17</v>
      </c>
      <c r="B14" s="85"/>
      <c r="C14" s="592" t="s">
        <v>420</v>
      </c>
      <c r="D14" s="85"/>
    </row>
    <row r="15" spans="1:8" ht="12.95">
      <c r="A15" s="85" t="s">
        <v>421</v>
      </c>
      <c r="B15" s="85"/>
      <c r="C15" s="87">
        <v>80</v>
      </c>
    </row>
    <row r="16" spans="1:8" ht="12.95">
      <c r="A16" s="85"/>
      <c r="F16" s="85"/>
    </row>
    <row r="17" spans="1:10" ht="27.95" customHeight="1">
      <c r="A17" s="85" t="s">
        <v>21</v>
      </c>
      <c r="C17" s="480" t="s">
        <v>337</v>
      </c>
      <c r="D17" s="480"/>
      <c r="E17" s="480"/>
      <c r="F17" s="85"/>
    </row>
    <row r="19" spans="1:10" ht="12.95">
      <c r="A19" s="85" t="s">
        <v>23</v>
      </c>
    </row>
    <row r="20" spans="1:10" ht="25.5" customHeight="1">
      <c r="A20" s="159"/>
      <c r="B20" s="321" t="s">
        <v>24</v>
      </c>
      <c r="C20" s="322"/>
      <c r="D20" s="328" t="s">
        <v>422</v>
      </c>
      <c r="E20" s="329"/>
      <c r="F20" s="233" t="s">
        <v>423</v>
      </c>
      <c r="G20" s="234" t="s">
        <v>424</v>
      </c>
      <c r="H20" s="223" t="s">
        <v>425</v>
      </c>
      <c r="J20" s="84"/>
    </row>
    <row r="21" spans="1:10">
      <c r="B21" s="328" t="s">
        <v>30</v>
      </c>
      <c r="C21" s="384"/>
      <c r="D21" s="328" t="s">
        <v>31</v>
      </c>
      <c r="E21" s="329"/>
      <c r="F21" s="303" t="s">
        <v>426</v>
      </c>
      <c r="G21" s="271">
        <v>1</v>
      </c>
      <c r="H21" s="224" t="s">
        <v>427</v>
      </c>
      <c r="J21" s="84"/>
    </row>
    <row r="22" spans="1:10">
      <c r="B22" s="330"/>
      <c r="C22" s="331"/>
      <c r="D22" s="330" t="s">
        <v>34</v>
      </c>
      <c r="E22" s="331"/>
      <c r="F22" s="304" t="s">
        <v>426</v>
      </c>
      <c r="G22" s="272">
        <v>1</v>
      </c>
      <c r="H22" s="229" t="s">
        <v>428</v>
      </c>
      <c r="J22" s="84"/>
    </row>
    <row r="23" spans="1:10" ht="12.95">
      <c r="A23" s="85"/>
      <c r="B23" s="85" t="s">
        <v>342</v>
      </c>
      <c r="F23" s="85"/>
      <c r="H23" s="90"/>
    </row>
    <row r="24" spans="1:10" ht="12.95">
      <c r="A24" s="85"/>
      <c r="F24" s="85"/>
    </row>
    <row r="25" spans="1:10" ht="12.95">
      <c r="A25" s="85" t="s">
        <v>37</v>
      </c>
      <c r="B25" s="321" t="s">
        <v>24</v>
      </c>
      <c r="C25" s="322"/>
      <c r="D25" s="328" t="s">
        <v>422</v>
      </c>
      <c r="E25" s="329"/>
      <c r="F25" s="221" t="s">
        <v>425</v>
      </c>
      <c r="G25" s="223" t="s">
        <v>132</v>
      </c>
      <c r="H25" s="223" t="s">
        <v>40</v>
      </c>
    </row>
    <row r="26" spans="1:10">
      <c r="B26" s="328" t="s">
        <v>30</v>
      </c>
      <c r="C26" s="384"/>
      <c r="D26" s="328" t="s">
        <v>31</v>
      </c>
      <c r="E26" s="329"/>
      <c r="F26" s="270" t="s">
        <v>427</v>
      </c>
      <c r="G26" s="593">
        <v>390</v>
      </c>
      <c r="H26" s="239">
        <f>G21*G26</f>
        <v>390</v>
      </c>
    </row>
    <row r="27" spans="1:10">
      <c r="B27" s="330"/>
      <c r="C27" s="331"/>
      <c r="D27" s="330" t="s">
        <v>34</v>
      </c>
      <c r="E27" s="331"/>
      <c r="F27" s="227" t="s">
        <v>428</v>
      </c>
      <c r="G27" s="594">
        <v>234</v>
      </c>
      <c r="H27" s="237">
        <f>G22*G27</f>
        <v>234</v>
      </c>
    </row>
    <row r="28" spans="1:10" s="82" customFormat="1" ht="12.95">
      <c r="A28" s="85"/>
      <c r="F28" s="85"/>
    </row>
    <row r="29" spans="1:10" ht="12.95">
      <c r="A29" s="85" t="s">
        <v>41</v>
      </c>
      <c r="B29" s="85"/>
      <c r="C29" s="238">
        <f>SUM(H26:H27)</f>
        <v>624</v>
      </c>
      <c r="D29" s="85"/>
    </row>
    <row r="30" spans="1:10" ht="12.95">
      <c r="A30" s="85"/>
      <c r="B30" s="85"/>
      <c r="C30" s="85"/>
      <c r="D30" s="85"/>
    </row>
    <row r="31" spans="1:10" s="162" customFormat="1" ht="12.95">
      <c r="A31" s="85" t="s">
        <v>429</v>
      </c>
      <c r="B31" s="82"/>
      <c r="C31" s="82"/>
      <c r="D31" s="82"/>
      <c r="E31" s="160"/>
      <c r="F31" s="161"/>
      <c r="G31" s="160"/>
      <c r="H31" s="160"/>
      <c r="I31" s="160"/>
      <c r="J31" s="160"/>
    </row>
    <row r="32" spans="1:10" s="162" customFormat="1" ht="12.95">
      <c r="A32" s="85"/>
      <c r="B32" s="82"/>
      <c r="C32" s="82"/>
      <c r="D32" s="82"/>
      <c r="E32" s="160"/>
      <c r="F32" s="161"/>
      <c r="G32" s="160"/>
      <c r="H32" s="160"/>
      <c r="I32" s="160"/>
      <c r="J32" s="160"/>
    </row>
    <row r="33" spans="1:10" ht="12.95">
      <c r="A33" s="85" t="s">
        <v>45</v>
      </c>
      <c r="B33" s="85" t="s">
        <v>430</v>
      </c>
    </row>
    <row r="34" spans="1:10" ht="12.95">
      <c r="A34" s="92" t="s">
        <v>431</v>
      </c>
      <c r="B34" s="93"/>
      <c r="C34" s="206"/>
      <c r="D34" s="207" t="s">
        <v>432</v>
      </c>
      <c r="E34" s="273" t="s">
        <v>433</v>
      </c>
      <c r="F34" s="278"/>
      <c r="G34"/>
      <c r="H34"/>
      <c r="J34" s="84"/>
    </row>
    <row r="35" spans="1:10" ht="12.95">
      <c r="A35" s="208" t="s">
        <v>434</v>
      </c>
      <c r="B35" s="209"/>
      <c r="C35" s="595"/>
      <c r="D35" s="210">
        <v>500000</v>
      </c>
      <c r="E35" s="274">
        <v>200000</v>
      </c>
      <c r="F35" s="275"/>
      <c r="G35"/>
      <c r="H35"/>
      <c r="J35" s="84"/>
    </row>
    <row r="36" spans="1:10" ht="12.95">
      <c r="A36" s="208" t="s">
        <v>435</v>
      </c>
      <c r="B36" s="209"/>
      <c r="C36" s="209"/>
      <c r="D36" s="211">
        <v>25000</v>
      </c>
      <c r="E36" s="275">
        <v>25000</v>
      </c>
      <c r="F36" s="275"/>
      <c r="G36"/>
      <c r="H36"/>
      <c r="J36" s="84"/>
    </row>
    <row r="37" spans="1:10" ht="12.95">
      <c r="A37" s="208" t="s">
        <v>436</v>
      </c>
      <c r="B37" s="212"/>
      <c r="C37" s="212"/>
      <c r="D37" s="211">
        <v>75000</v>
      </c>
      <c r="E37" s="275">
        <v>30000</v>
      </c>
      <c r="F37" s="275"/>
      <c r="G37"/>
      <c r="H37"/>
      <c r="J37" s="84"/>
    </row>
    <row r="38" spans="1:10" ht="12.95">
      <c r="A38" s="208" t="s">
        <v>437</v>
      </c>
      <c r="B38" s="209"/>
      <c r="C38" s="212"/>
      <c r="D38" s="211">
        <v>50000</v>
      </c>
      <c r="E38" s="275">
        <v>20000</v>
      </c>
      <c r="F38" s="275"/>
      <c r="G38"/>
      <c r="H38"/>
      <c r="J38" s="84"/>
    </row>
    <row r="39" spans="1:10" ht="12.95">
      <c r="A39" s="208" t="s">
        <v>438</v>
      </c>
      <c r="B39" s="209"/>
      <c r="C39" s="212"/>
      <c r="D39" s="211">
        <v>50000</v>
      </c>
      <c r="E39" s="275">
        <v>20000</v>
      </c>
      <c r="F39" s="275"/>
      <c r="G39"/>
      <c r="H39"/>
      <c r="J39" s="84"/>
    </row>
    <row r="40" spans="1:10" s="82" customFormat="1" ht="12.95">
      <c r="A40" s="208" t="s">
        <v>439</v>
      </c>
      <c r="B40" s="209"/>
      <c r="C40" s="212"/>
      <c r="D40" s="211">
        <v>5000</v>
      </c>
      <c r="E40" s="275">
        <v>5000</v>
      </c>
      <c r="F40" s="275"/>
      <c r="G40"/>
      <c r="H40"/>
    </row>
    <row r="41" spans="1:10" s="82" customFormat="1" ht="12.95">
      <c r="A41" s="208" t="s">
        <v>440</v>
      </c>
      <c r="B41" s="209"/>
      <c r="C41" s="209"/>
      <c r="D41" s="211">
        <v>30000</v>
      </c>
      <c r="E41" s="275">
        <v>30000</v>
      </c>
      <c r="F41" s="275"/>
      <c r="G41"/>
      <c r="H41"/>
    </row>
    <row r="42" spans="1:10" s="82" customFormat="1" ht="12.95">
      <c r="A42" s="208" t="s">
        <v>372</v>
      </c>
      <c r="B42" s="209"/>
      <c r="C42" s="209"/>
      <c r="D42" s="211">
        <v>5000</v>
      </c>
      <c r="E42" s="275">
        <v>5000</v>
      </c>
      <c r="F42" s="275"/>
      <c r="G42"/>
      <c r="H42"/>
    </row>
    <row r="43" spans="1:10" s="82" customFormat="1" ht="12.95">
      <c r="A43" s="208" t="s">
        <v>441</v>
      </c>
      <c r="B43" s="209"/>
      <c r="C43" s="209"/>
      <c r="D43" s="211">
        <v>5000</v>
      </c>
      <c r="E43" s="275">
        <v>5000</v>
      </c>
      <c r="F43" s="275"/>
      <c r="G43"/>
      <c r="H43"/>
    </row>
    <row r="44" spans="1:10" s="82" customFormat="1" ht="12.95">
      <c r="A44" s="208" t="s">
        <v>442</v>
      </c>
      <c r="B44" s="595"/>
      <c r="C44" s="209"/>
      <c r="D44" s="211">
        <v>2000</v>
      </c>
      <c r="E44" s="275">
        <v>2000</v>
      </c>
      <c r="F44" s="275"/>
      <c r="G44"/>
      <c r="H44"/>
    </row>
    <row r="45" spans="1:10" s="82" customFormat="1" ht="12.95">
      <c r="A45" s="208" t="s">
        <v>443</v>
      </c>
      <c r="B45" s="595"/>
      <c r="C45" s="595"/>
      <c r="D45" s="211">
        <v>5000</v>
      </c>
      <c r="E45" s="275">
        <v>5000</v>
      </c>
      <c r="F45" s="275"/>
      <c r="G45"/>
      <c r="H45"/>
    </row>
    <row r="46" spans="1:10" s="82" customFormat="1" ht="12.95">
      <c r="A46" s="208" t="s">
        <v>444</v>
      </c>
      <c r="B46" s="595"/>
      <c r="C46" s="595"/>
      <c r="D46" s="211">
        <v>2000</v>
      </c>
      <c r="E46" s="275">
        <v>2000</v>
      </c>
      <c r="F46" s="275"/>
      <c r="G46"/>
      <c r="H46"/>
    </row>
    <row r="47" spans="1:10" s="82" customFormat="1" ht="12.95">
      <c r="A47" s="208" t="s">
        <v>445</v>
      </c>
      <c r="B47" s="209"/>
      <c r="C47" s="595"/>
      <c r="D47" s="211">
        <v>2000</v>
      </c>
      <c r="E47" s="275">
        <v>2000</v>
      </c>
      <c r="F47" s="275"/>
      <c r="G47"/>
      <c r="H47"/>
    </row>
    <row r="48" spans="1:10" s="82" customFormat="1" ht="12.95">
      <c r="A48" s="208" t="s">
        <v>446</v>
      </c>
      <c r="B48" s="595"/>
      <c r="C48" s="595"/>
      <c r="D48" s="211" t="s">
        <v>447</v>
      </c>
      <c r="E48" s="275" t="s">
        <v>447</v>
      </c>
      <c r="F48" s="275"/>
      <c r="G48"/>
      <c r="H48"/>
    </row>
    <row r="49" spans="1:10" s="82" customFormat="1" ht="12.95">
      <c r="A49" s="208" t="s">
        <v>448</v>
      </c>
      <c r="B49" s="209"/>
      <c r="C49" s="595"/>
      <c r="D49" s="211">
        <v>250</v>
      </c>
      <c r="E49" s="275">
        <v>250</v>
      </c>
      <c r="F49" s="275"/>
      <c r="G49"/>
      <c r="H49"/>
    </row>
    <row r="50" spans="1:10" s="82" customFormat="1" ht="12.95">
      <c r="A50" s="208" t="s">
        <v>449</v>
      </c>
      <c r="B50" s="209"/>
      <c r="C50" s="209"/>
      <c r="D50" s="211">
        <v>500000</v>
      </c>
      <c r="E50" s="275">
        <v>200000</v>
      </c>
      <c r="F50" s="275"/>
      <c r="G50"/>
      <c r="H50"/>
    </row>
    <row r="51" spans="1:10" s="82" customFormat="1" ht="12.95">
      <c r="A51" s="215" t="s">
        <v>450</v>
      </c>
      <c r="B51" s="209"/>
      <c r="C51" s="209"/>
      <c r="D51" s="211">
        <v>50000</v>
      </c>
      <c r="E51" s="275">
        <v>20000</v>
      </c>
      <c r="F51" s="275"/>
      <c r="G51"/>
      <c r="H51"/>
    </row>
    <row r="52" spans="1:10" s="82" customFormat="1">
      <c r="A52" s="215" t="s">
        <v>451</v>
      </c>
      <c r="B52" s="209"/>
      <c r="C52" s="209"/>
      <c r="D52" s="211">
        <v>1500</v>
      </c>
      <c r="E52" s="275">
        <v>1500</v>
      </c>
      <c r="F52" s="275"/>
      <c r="G52"/>
      <c r="H52"/>
    </row>
    <row r="53" spans="1:10" s="82" customFormat="1" ht="12.95">
      <c r="A53" s="208" t="s">
        <v>452</v>
      </c>
      <c r="B53" s="209"/>
      <c r="C53" s="209"/>
      <c r="D53" s="211">
        <v>10000</v>
      </c>
      <c r="E53" s="275">
        <v>10000</v>
      </c>
      <c r="F53" s="275"/>
      <c r="G53"/>
      <c r="H53"/>
    </row>
    <row r="54" spans="1:10" s="82" customFormat="1" ht="12.95">
      <c r="A54" s="279" t="s">
        <v>453</v>
      </c>
      <c r="B54" s="596"/>
      <c r="C54" s="214"/>
      <c r="D54" s="217">
        <v>500</v>
      </c>
      <c r="E54" s="217">
        <v>500</v>
      </c>
      <c r="F54" s="275"/>
      <c r="G54"/>
      <c r="H54"/>
    </row>
    <row r="55" spans="1:10" s="82" customFormat="1" ht="12.95">
      <c r="A55" s="280" t="s">
        <v>454</v>
      </c>
      <c r="B55" s="597"/>
      <c r="C55" s="597"/>
      <c r="D55" s="210"/>
      <c r="E55" s="210"/>
      <c r="F55" s="275"/>
      <c r="G55"/>
      <c r="H55"/>
    </row>
    <row r="56" spans="1:10" s="82" customFormat="1">
      <c r="A56" s="215" t="s">
        <v>455</v>
      </c>
      <c r="B56" s="595"/>
      <c r="C56" s="595"/>
      <c r="D56" s="211">
        <v>10000</v>
      </c>
      <c r="E56" s="275">
        <v>10000</v>
      </c>
      <c r="F56" s="275"/>
      <c r="G56"/>
      <c r="H56"/>
    </row>
    <row r="57" spans="1:10" s="82" customFormat="1">
      <c r="A57" s="215" t="s">
        <v>456</v>
      </c>
      <c r="B57" s="209"/>
      <c r="C57" s="595"/>
      <c r="D57" s="211">
        <v>20000</v>
      </c>
      <c r="E57" s="275">
        <v>20000</v>
      </c>
      <c r="F57" s="275"/>
      <c r="G57"/>
      <c r="H57"/>
    </row>
    <row r="58" spans="1:10" ht="12.95">
      <c r="A58" s="208" t="s">
        <v>457</v>
      </c>
      <c r="B58" s="209"/>
      <c r="C58" s="209"/>
      <c r="D58" s="211">
        <v>250</v>
      </c>
      <c r="E58" s="275">
        <v>250</v>
      </c>
      <c r="F58" s="275"/>
      <c r="G58"/>
      <c r="H58"/>
      <c r="J58" s="84"/>
    </row>
    <row r="59" spans="1:10" ht="12.95">
      <c r="A59" s="208" t="s">
        <v>458</v>
      </c>
      <c r="B59" s="209"/>
      <c r="C59" s="209"/>
      <c r="D59" s="211">
        <v>10000</v>
      </c>
      <c r="E59" s="275">
        <v>6000</v>
      </c>
      <c r="F59" s="275"/>
      <c r="G59"/>
      <c r="H59"/>
      <c r="J59" s="84"/>
    </row>
    <row r="60" spans="1:10" ht="12.95">
      <c r="A60" s="208" t="s">
        <v>459</v>
      </c>
      <c r="B60" s="209"/>
      <c r="C60" s="209"/>
      <c r="D60" s="211">
        <v>6000</v>
      </c>
      <c r="E60" s="275">
        <v>6000</v>
      </c>
      <c r="F60" s="275"/>
      <c r="G60"/>
      <c r="H60"/>
      <c r="J60" s="84"/>
    </row>
    <row r="61" spans="1:10" s="86" customFormat="1" ht="12.95">
      <c r="A61" s="208" t="s">
        <v>460</v>
      </c>
      <c r="B61" s="209"/>
      <c r="C61" s="209"/>
      <c r="D61" s="211">
        <v>2000</v>
      </c>
      <c r="E61" s="275">
        <v>2000</v>
      </c>
      <c r="F61" s="275"/>
      <c r="G61"/>
      <c r="H61"/>
    </row>
    <row r="62" spans="1:10" ht="12.95">
      <c r="A62" s="279" t="s">
        <v>461</v>
      </c>
      <c r="B62" s="300"/>
      <c r="C62" s="213"/>
      <c r="D62" s="211">
        <v>5000</v>
      </c>
      <c r="E62" s="301">
        <v>5000</v>
      </c>
      <c r="F62" s="277"/>
      <c r="G62"/>
      <c r="H62"/>
      <c r="J62" s="84"/>
    </row>
    <row r="63" spans="1:10" ht="12.95">
      <c r="A63" s="280" t="s">
        <v>462</v>
      </c>
      <c r="B63" s="209"/>
      <c r="C63" s="209"/>
      <c r="D63" s="211">
        <v>5000</v>
      </c>
      <c r="E63" s="211">
        <v>5000</v>
      </c>
      <c r="F63" s="275"/>
      <c r="G63"/>
      <c r="H63"/>
      <c r="J63" s="84"/>
    </row>
    <row r="64" spans="1:10">
      <c r="A64" s="215" t="s">
        <v>463</v>
      </c>
      <c r="B64" s="209"/>
      <c r="C64" s="209"/>
      <c r="D64" s="211">
        <v>2000</v>
      </c>
      <c r="E64" s="275">
        <v>2000</v>
      </c>
      <c r="F64" s="275"/>
      <c r="G64"/>
      <c r="H64"/>
      <c r="J64" s="84"/>
    </row>
    <row r="65" spans="1:10" ht="12.95">
      <c r="A65" s="208" t="s">
        <v>464</v>
      </c>
      <c r="B65" s="209"/>
      <c r="C65" s="209"/>
      <c r="D65" s="211">
        <v>2000</v>
      </c>
      <c r="E65" s="275">
        <v>2000</v>
      </c>
      <c r="F65" s="275"/>
      <c r="G65"/>
      <c r="H65"/>
      <c r="J65" s="84"/>
    </row>
    <row r="66" spans="1:10" ht="12.95">
      <c r="A66" s="208" t="s">
        <v>465</v>
      </c>
      <c r="B66" s="209"/>
      <c r="C66" s="209"/>
      <c r="D66" s="211">
        <v>300</v>
      </c>
      <c r="E66" s="275">
        <v>300</v>
      </c>
      <c r="F66" s="275"/>
      <c r="G66"/>
      <c r="H66"/>
      <c r="J66" s="84"/>
    </row>
    <row r="67" spans="1:10" ht="12.95">
      <c r="A67" s="208" t="s">
        <v>466</v>
      </c>
      <c r="B67" s="209"/>
      <c r="C67" s="209"/>
      <c r="D67" s="211">
        <v>10000</v>
      </c>
      <c r="E67" s="275">
        <v>6000</v>
      </c>
      <c r="F67" s="275"/>
      <c r="G67"/>
      <c r="H67"/>
      <c r="J67" s="84"/>
    </row>
    <row r="68" spans="1:10" ht="12.95">
      <c r="A68" s="208" t="s">
        <v>467</v>
      </c>
      <c r="B68" s="209"/>
      <c r="C68" s="209"/>
      <c r="D68" s="211">
        <v>10000</v>
      </c>
      <c r="E68" s="275">
        <v>6000</v>
      </c>
      <c r="F68" s="275"/>
      <c r="G68"/>
      <c r="H68"/>
      <c r="J68" s="84"/>
    </row>
    <row r="69" spans="1:10" ht="12.95">
      <c r="A69" s="208" t="s">
        <v>468</v>
      </c>
      <c r="B69" s="209"/>
      <c r="C69" s="209"/>
      <c r="D69" s="211">
        <v>10000</v>
      </c>
      <c r="E69" s="275">
        <v>6000</v>
      </c>
      <c r="F69" s="275"/>
      <c r="G69"/>
      <c r="H69"/>
      <c r="J69" s="84"/>
    </row>
    <row r="70" spans="1:10" ht="12.95">
      <c r="A70" s="208" t="s">
        <v>469</v>
      </c>
      <c r="B70" s="209"/>
      <c r="C70" s="209"/>
      <c r="D70" s="211">
        <v>5000</v>
      </c>
      <c r="E70" s="275">
        <v>5000</v>
      </c>
      <c r="F70" s="275"/>
      <c r="G70"/>
      <c r="H70"/>
      <c r="J70" s="84"/>
    </row>
    <row r="71" spans="1:10" ht="12.95">
      <c r="A71" s="219" t="s">
        <v>470</v>
      </c>
      <c r="B71" s="209"/>
      <c r="C71" s="209"/>
      <c r="D71" s="211">
        <v>2000</v>
      </c>
      <c r="E71" s="275">
        <v>2000</v>
      </c>
      <c r="F71" s="275"/>
      <c r="G71"/>
      <c r="H71"/>
      <c r="J71" s="84"/>
    </row>
    <row r="72" spans="1:10" ht="12.95">
      <c r="A72" s="208" t="s">
        <v>471</v>
      </c>
      <c r="B72" s="209"/>
      <c r="C72" s="209"/>
      <c r="D72" s="390">
        <v>1000</v>
      </c>
      <c r="E72" s="391">
        <v>1000</v>
      </c>
      <c r="F72" s="391"/>
      <c r="G72"/>
      <c r="H72"/>
      <c r="J72" s="84"/>
    </row>
    <row r="73" spans="1:10" ht="27" customHeight="1">
      <c r="A73" s="387" t="s">
        <v>472</v>
      </c>
      <c r="B73" s="392"/>
      <c r="C73" s="393"/>
      <c r="D73" s="390"/>
      <c r="E73" s="391"/>
      <c r="F73" s="391"/>
      <c r="G73"/>
      <c r="H73"/>
      <c r="J73" s="84"/>
    </row>
    <row r="74" spans="1:10" ht="41.1" customHeight="1">
      <c r="A74" s="387" t="s">
        <v>473</v>
      </c>
      <c r="B74" s="392"/>
      <c r="C74" s="393"/>
      <c r="D74" s="390"/>
      <c r="E74" s="391"/>
      <c r="F74" s="391"/>
      <c r="G74"/>
      <c r="H74"/>
      <c r="J74" s="84"/>
    </row>
    <row r="75" spans="1:10" ht="12.95">
      <c r="A75" s="208" t="s">
        <v>474</v>
      </c>
      <c r="B75" s="209"/>
      <c r="C75" s="209"/>
      <c r="D75" s="211">
        <v>250</v>
      </c>
      <c r="E75" s="275">
        <v>250</v>
      </c>
      <c r="F75" s="275"/>
      <c r="G75"/>
      <c r="H75"/>
      <c r="J75" s="84"/>
    </row>
    <row r="76" spans="1:10" ht="12.95">
      <c r="A76" s="208" t="s">
        <v>475</v>
      </c>
      <c r="B76" s="209"/>
      <c r="C76" s="209"/>
      <c r="D76" s="390">
        <v>1000</v>
      </c>
      <c r="E76" s="391">
        <v>1000</v>
      </c>
      <c r="F76" s="391"/>
      <c r="G76"/>
      <c r="H76"/>
      <c r="J76" s="84"/>
    </row>
    <row r="77" spans="1:10" ht="27" customHeight="1">
      <c r="A77" s="387" t="s">
        <v>476</v>
      </c>
      <c r="B77" s="388"/>
      <c r="C77" s="389"/>
      <c r="D77" s="390"/>
      <c r="E77" s="391"/>
      <c r="F77" s="391"/>
      <c r="G77"/>
      <c r="H77"/>
      <c r="J77" s="84"/>
    </row>
    <row r="78" spans="1:10" ht="12.95">
      <c r="A78" s="208" t="s">
        <v>477</v>
      </c>
      <c r="B78" s="209"/>
      <c r="C78" s="209"/>
      <c r="D78" s="211">
        <v>10000</v>
      </c>
      <c r="E78" s="275">
        <v>10000</v>
      </c>
      <c r="F78" s="275"/>
      <c r="G78"/>
      <c r="H78"/>
      <c r="J78" s="84"/>
    </row>
    <row r="79" spans="1:10" ht="12.95">
      <c r="A79" s="208" t="s">
        <v>478</v>
      </c>
      <c r="B79" s="209"/>
      <c r="C79" s="209"/>
      <c r="D79" s="211">
        <v>10000</v>
      </c>
      <c r="E79" s="275">
        <v>10000</v>
      </c>
      <c r="F79" s="275"/>
      <c r="G79"/>
      <c r="H79"/>
      <c r="J79" s="84"/>
    </row>
    <row r="80" spans="1:10" ht="12.95">
      <c r="A80" s="208" t="s">
        <v>479</v>
      </c>
      <c r="B80" s="209"/>
      <c r="C80" s="209"/>
      <c r="D80" s="211">
        <v>15000</v>
      </c>
      <c r="E80" s="275">
        <v>15000</v>
      </c>
      <c r="F80" s="275"/>
      <c r="G80"/>
      <c r="H80"/>
      <c r="J80" s="84"/>
    </row>
    <row r="81" spans="1:10" ht="12.95">
      <c r="A81" s="208" t="s">
        <v>480</v>
      </c>
      <c r="B81" s="209"/>
      <c r="C81" s="209"/>
      <c r="D81" s="211">
        <v>15000</v>
      </c>
      <c r="E81" s="275">
        <v>15000</v>
      </c>
      <c r="F81" s="275"/>
      <c r="G81"/>
      <c r="H81"/>
      <c r="J81" s="84"/>
    </row>
    <row r="82" spans="1:10" ht="12.95">
      <c r="A82" s="208" t="s">
        <v>481</v>
      </c>
      <c r="B82" s="209"/>
      <c r="C82" s="209"/>
      <c r="D82" s="211">
        <v>1000000</v>
      </c>
      <c r="E82" s="275">
        <v>1000000</v>
      </c>
      <c r="F82" s="275"/>
      <c r="G82"/>
      <c r="H82"/>
      <c r="J82" s="84"/>
    </row>
    <row r="83" spans="1:10" ht="12.95">
      <c r="A83" s="208" t="s">
        <v>482</v>
      </c>
      <c r="B83" s="209"/>
      <c r="C83" s="209"/>
      <c r="D83" s="211">
        <v>300</v>
      </c>
      <c r="E83" s="275">
        <v>300</v>
      </c>
      <c r="F83" s="275"/>
      <c r="G83"/>
      <c r="H83"/>
      <c r="J83" s="84"/>
    </row>
    <row r="84" spans="1:10" ht="12.95">
      <c r="A84" s="208" t="s">
        <v>483</v>
      </c>
      <c r="B84" s="209"/>
      <c r="C84" s="209"/>
      <c r="D84" s="211">
        <v>5000</v>
      </c>
      <c r="E84" s="275">
        <v>5000</v>
      </c>
      <c r="F84" s="275"/>
      <c r="G84"/>
      <c r="H84"/>
      <c r="J84" s="84"/>
    </row>
    <row r="85" spans="1:10" ht="12.95">
      <c r="A85" s="208" t="s">
        <v>484</v>
      </c>
      <c r="B85" s="209"/>
      <c r="C85" s="209"/>
      <c r="D85" s="211">
        <v>250</v>
      </c>
      <c r="E85" s="275">
        <v>250</v>
      </c>
      <c r="F85" s="275"/>
      <c r="G85"/>
      <c r="H85"/>
      <c r="J85" s="84"/>
    </row>
    <row r="86" spans="1:10" ht="12.95">
      <c r="A86" s="208" t="s">
        <v>485</v>
      </c>
      <c r="B86" s="209"/>
      <c r="C86" s="209"/>
      <c r="D86" s="211"/>
      <c r="E86" s="275"/>
      <c r="F86" s="275"/>
      <c r="G86"/>
      <c r="H86"/>
      <c r="J86" s="84"/>
    </row>
    <row r="87" spans="1:10">
      <c r="A87" s="215" t="s">
        <v>486</v>
      </c>
      <c r="B87" s="213"/>
      <c r="C87" s="209"/>
      <c r="D87" s="218">
        <v>500</v>
      </c>
      <c r="E87" s="218">
        <v>500</v>
      </c>
      <c r="F87" s="218"/>
      <c r="G87"/>
      <c r="H87"/>
      <c r="J87" s="84"/>
    </row>
    <row r="88" spans="1:10">
      <c r="A88" s="216" t="s">
        <v>487</v>
      </c>
      <c r="B88" s="214"/>
      <c r="C88" s="214"/>
      <c r="D88" s="217">
        <v>3000</v>
      </c>
      <c r="E88" s="276">
        <v>3000</v>
      </c>
      <c r="F88" s="275"/>
      <c r="G88"/>
      <c r="H88"/>
      <c r="J88" s="84"/>
    </row>
    <row r="89" spans="1:10">
      <c r="D89" s="127"/>
      <c r="E89" s="127"/>
      <c r="F89" s="127"/>
    </row>
  </sheetData>
  <mergeCells count="22">
    <mergeCell ref="A77:C77"/>
    <mergeCell ref="D76:D77"/>
    <mergeCell ref="E76:E77"/>
    <mergeCell ref="F76:F77"/>
    <mergeCell ref="A73:C73"/>
    <mergeCell ref="A74:C74"/>
    <mergeCell ref="D72:D74"/>
    <mergeCell ref="E72:E74"/>
    <mergeCell ref="F72:F74"/>
    <mergeCell ref="C5:H5"/>
    <mergeCell ref="C11:D11"/>
    <mergeCell ref="B20:C20"/>
    <mergeCell ref="D20:E20"/>
    <mergeCell ref="B25:C25"/>
    <mergeCell ref="D25:E25"/>
    <mergeCell ref="C17:E17"/>
    <mergeCell ref="D21:E21"/>
    <mergeCell ref="D26:E26"/>
    <mergeCell ref="B26:C27"/>
    <mergeCell ref="D22:E22"/>
    <mergeCell ref="B21:C22"/>
    <mergeCell ref="D27:E27"/>
  </mergeCells>
  <pageMargins left="0.25" right="0.25" top="0.7" bottom="0.6" header="0.25" footer="0.25"/>
  <pageSetup paperSize="9" scale="65" fitToHeight="0" orientation="landscape" r:id="rId1"/>
  <headerFooter alignWithMargins="0">
    <oddHeader>&amp;C&amp;"Arial,Bold"PLACEMENT SLIP
&amp;"Arial,Regular"&amp;8&amp;A&amp;R&amp;G</oddHeader>
    <oddFooter>&amp;LProceed cover
_____________________
Client Sign / Date&amp;C&amp;8This is to effect cover, not a contract. The signed qtn slip (if applic) and the policy form the basis of the contract.&amp;10
&amp;6E &amp;&amp; OE&amp;RConfirmed
_____________________
Insurer Sign / Date</oddFooter>
  </headerFooter>
  <rowBreaks count="1" manualBreakCount="1">
    <brk id="54" max="7" man="1"/>
  </rowBreaks>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5187A-FE71-4A6F-A5BC-69560BA6D43C}">
  <sheetPr>
    <tabColor rgb="FFFFFF00"/>
    <pageSetUpPr fitToPage="1"/>
  </sheetPr>
  <dimension ref="A1:H96"/>
  <sheetViews>
    <sheetView tabSelected="1" view="pageBreakPreview" zoomScale="70" zoomScaleNormal="70" zoomScaleSheetLayoutView="70" workbookViewId="0"/>
  </sheetViews>
  <sheetFormatPr defaultColWidth="9.140625" defaultRowHeight="12.6"/>
  <cols>
    <col min="1" max="1" width="11" style="167" customWidth="1"/>
    <col min="2" max="2" width="21" style="167" customWidth="1"/>
    <col min="3" max="3" width="15.85546875" style="167" customWidth="1"/>
    <col min="4" max="4" width="31.42578125" style="167" customWidth="1"/>
    <col min="5" max="5" width="11.5703125" style="82" customWidth="1"/>
    <col min="6" max="6" width="26" style="167" customWidth="1"/>
    <col min="7" max="7" width="20.85546875" style="167" customWidth="1"/>
    <col min="8" max="8" width="26.42578125" style="167" customWidth="1"/>
    <col min="9" max="16384" width="9.140625" style="168"/>
  </cols>
  <sheetData>
    <row r="1" spans="1:8" ht="29.45" customHeight="1">
      <c r="A1" s="81" t="s">
        <v>488</v>
      </c>
      <c r="D1" s="83"/>
    </row>
    <row r="2" spans="1:8" ht="15" customHeight="1">
      <c r="A2" s="81"/>
      <c r="D2" s="83"/>
    </row>
    <row r="3" spans="1:8" s="84" customFormat="1" ht="12.95">
      <c r="A3" s="85" t="s">
        <v>1</v>
      </c>
      <c r="B3" s="85"/>
      <c r="C3" s="85"/>
      <c r="D3" s="82"/>
      <c r="E3" s="158"/>
      <c r="F3" s="82"/>
      <c r="G3" s="82"/>
      <c r="H3" s="82"/>
    </row>
    <row r="4" spans="1:8" s="84" customFormat="1" ht="12.95">
      <c r="A4" s="85" t="s">
        <v>2</v>
      </c>
      <c r="B4" s="85"/>
      <c r="C4" s="85"/>
      <c r="D4" s="311" t="s">
        <v>3</v>
      </c>
      <c r="E4" s="158"/>
      <c r="F4" s="82"/>
      <c r="G4" s="82"/>
      <c r="H4" s="82"/>
    </row>
    <row r="5" spans="1:8" s="84" customFormat="1" ht="12.95">
      <c r="A5" s="85" t="s">
        <v>4</v>
      </c>
      <c r="B5" s="85"/>
      <c r="C5" s="85"/>
      <c r="D5" s="311" t="s">
        <v>3</v>
      </c>
      <c r="E5" s="158"/>
      <c r="F5" s="82"/>
      <c r="G5" s="82"/>
      <c r="H5" s="82"/>
    </row>
    <row r="6" spans="1:8" s="84" customFormat="1" ht="12.95">
      <c r="A6" s="85" t="s">
        <v>5</v>
      </c>
      <c r="B6" s="85"/>
      <c r="C6" s="85"/>
      <c r="D6" s="82" t="s">
        <v>6</v>
      </c>
      <c r="E6" s="158"/>
      <c r="F6" s="82"/>
      <c r="G6" s="82"/>
      <c r="H6" s="82"/>
    </row>
    <row r="7" spans="1:8" s="84" customFormat="1" ht="12.95">
      <c r="A7" s="85" t="s">
        <v>7</v>
      </c>
      <c r="B7" s="85"/>
      <c r="C7" s="85"/>
      <c r="D7" s="82" t="s">
        <v>8</v>
      </c>
      <c r="E7" s="158"/>
      <c r="F7" s="82"/>
      <c r="G7" s="82"/>
      <c r="H7" s="82"/>
    </row>
    <row r="8" spans="1:8" s="84" customFormat="1" ht="12.95">
      <c r="A8" s="85" t="s">
        <v>9</v>
      </c>
      <c r="B8" s="85"/>
      <c r="C8" s="85"/>
      <c r="D8" s="84" t="s">
        <v>10</v>
      </c>
      <c r="E8" s="82"/>
      <c r="F8" s="82"/>
      <c r="G8" s="82"/>
      <c r="H8" s="82"/>
    </row>
    <row r="9" spans="1:8" s="84" customFormat="1" ht="12.95">
      <c r="A9" s="85" t="s">
        <v>11</v>
      </c>
      <c r="B9" s="82"/>
      <c r="C9" s="85"/>
      <c r="D9" s="309" t="s">
        <v>489</v>
      </c>
      <c r="E9" s="82"/>
      <c r="F9" s="82"/>
      <c r="G9" s="82"/>
      <c r="H9" s="82"/>
    </row>
    <row r="10" spans="1:8" s="84" customFormat="1" ht="12.95">
      <c r="A10" s="85" t="s">
        <v>14</v>
      </c>
      <c r="B10" s="82"/>
      <c r="C10" s="85"/>
      <c r="D10" s="310" t="s">
        <v>490</v>
      </c>
      <c r="E10" s="82"/>
      <c r="F10" s="82"/>
      <c r="G10" s="82"/>
      <c r="H10" s="82"/>
    </row>
    <row r="11" spans="1:8" s="84" customFormat="1" ht="12.95">
      <c r="A11" s="85"/>
      <c r="B11" s="85"/>
      <c r="C11" s="85"/>
      <c r="D11" s="82"/>
      <c r="E11" s="82"/>
      <c r="F11" s="82"/>
      <c r="G11" s="82"/>
      <c r="H11" s="82"/>
    </row>
    <row r="12" spans="1:8" s="84" customFormat="1" ht="12.95">
      <c r="A12" s="85" t="s">
        <v>15</v>
      </c>
      <c r="B12" s="85"/>
      <c r="C12" s="85"/>
      <c r="D12" s="82" t="s">
        <v>491</v>
      </c>
      <c r="E12" s="82"/>
      <c r="F12" s="82"/>
      <c r="G12" s="82"/>
      <c r="H12" s="82"/>
    </row>
    <row r="13" spans="1:8" s="84" customFormat="1" ht="12.95">
      <c r="A13" s="85" t="s">
        <v>17</v>
      </c>
      <c r="B13" s="85"/>
      <c r="C13" s="82"/>
      <c r="D13" s="82" t="s">
        <v>18</v>
      </c>
      <c r="E13" s="82"/>
      <c r="F13" s="82"/>
      <c r="G13" s="82"/>
      <c r="H13" s="82"/>
    </row>
    <row r="14" spans="1:8" s="84" customFormat="1" ht="12.95">
      <c r="A14" s="85" t="s">
        <v>421</v>
      </c>
      <c r="B14" s="85"/>
      <c r="C14" s="111"/>
      <c r="D14" s="87" t="s">
        <v>182</v>
      </c>
      <c r="E14" s="82"/>
      <c r="F14" s="82"/>
      <c r="G14" s="82"/>
      <c r="H14" s="82"/>
    </row>
    <row r="15" spans="1:8" s="84" customFormat="1" ht="12.95">
      <c r="A15" s="85"/>
      <c r="B15" s="82"/>
      <c r="C15" s="82"/>
      <c r="D15" s="82"/>
      <c r="E15" s="82"/>
      <c r="F15" s="85"/>
      <c r="G15" s="82"/>
      <c r="H15" s="82"/>
    </row>
    <row r="16" spans="1:8" s="84" customFormat="1" ht="12.95">
      <c r="A16" s="85" t="s">
        <v>21</v>
      </c>
      <c r="B16" s="167"/>
      <c r="C16" s="85"/>
      <c r="D16" s="82" t="s">
        <v>492</v>
      </c>
      <c r="E16" s="82"/>
      <c r="F16" s="85"/>
      <c r="G16" s="82"/>
      <c r="H16" s="82"/>
    </row>
    <row r="17" spans="1:8" s="84" customFormat="1" ht="12.95">
      <c r="A17" s="85"/>
      <c r="B17" s="167"/>
      <c r="C17" s="85"/>
      <c r="D17" s="82"/>
      <c r="E17" s="82"/>
      <c r="F17" s="85"/>
      <c r="G17" s="82"/>
      <c r="H17" s="82"/>
    </row>
    <row r="18" spans="1:8" s="84" customFormat="1" ht="14.45" customHeight="1">
      <c r="A18" s="394" t="s">
        <v>493</v>
      </c>
      <c r="B18" s="395"/>
      <c r="C18" s="395"/>
      <c r="D18" s="395"/>
      <c r="E18" s="395"/>
      <c r="F18" s="395"/>
      <c r="G18" s="395"/>
      <c r="H18" s="396"/>
    </row>
    <row r="19" spans="1:8" s="84" customFormat="1" ht="26.45" customHeight="1">
      <c r="A19" s="200" t="s">
        <v>494</v>
      </c>
      <c r="B19" s="397" t="s">
        <v>495</v>
      </c>
      <c r="C19" s="397"/>
      <c r="D19" s="397"/>
      <c r="E19" s="397"/>
      <c r="F19" s="397"/>
      <c r="G19" s="397"/>
      <c r="H19" s="397"/>
    </row>
    <row r="20" spans="1:8" s="84" customFormat="1" ht="33" customHeight="1">
      <c r="A20" s="200" t="s">
        <v>496</v>
      </c>
      <c r="B20" s="397" t="s">
        <v>497</v>
      </c>
      <c r="C20" s="397"/>
      <c r="D20" s="397"/>
      <c r="E20" s="397"/>
      <c r="F20" s="397"/>
      <c r="G20" s="397"/>
      <c r="H20" s="397"/>
    </row>
    <row r="21" spans="1:8" s="84" customFormat="1" ht="12.95">
      <c r="A21" s="85"/>
      <c r="B21" s="167"/>
      <c r="C21" s="85"/>
      <c r="D21" s="82"/>
      <c r="E21" s="82"/>
      <c r="F21" s="85"/>
      <c r="G21" s="82"/>
      <c r="H21" s="82"/>
    </row>
    <row r="22" spans="1:8" s="84" customFormat="1" ht="14.45">
      <c r="A22" s="295" t="s">
        <v>498</v>
      </c>
      <c r="B22" s="296" t="s">
        <v>499</v>
      </c>
      <c r="C22" s="296" t="s">
        <v>500</v>
      </c>
      <c r="D22" s="82"/>
      <c r="E22" s="85"/>
      <c r="F22" s="82"/>
      <c r="G22" s="82"/>
    </row>
    <row r="23" spans="1:8" s="84" customFormat="1" ht="14.45">
      <c r="A23" s="297" t="s">
        <v>501</v>
      </c>
      <c r="B23" s="298">
        <v>999999</v>
      </c>
      <c r="C23" s="299">
        <v>4.2000000000000002E-4</v>
      </c>
      <c r="D23" s="82"/>
      <c r="E23" s="85"/>
      <c r="F23" s="82"/>
      <c r="G23" s="82"/>
    </row>
    <row r="24" spans="1:8" s="84" customFormat="1" ht="14.45">
      <c r="A24" s="297" t="s">
        <v>501</v>
      </c>
      <c r="B24" s="298">
        <v>4999999</v>
      </c>
      <c r="C24" s="299">
        <v>3.3E-4</v>
      </c>
      <c r="D24" s="82"/>
      <c r="E24" s="85"/>
      <c r="F24" s="82"/>
      <c r="G24" s="82"/>
    </row>
    <row r="25" spans="1:8" s="84" customFormat="1" ht="14.45">
      <c r="A25" s="297" t="s">
        <v>501</v>
      </c>
      <c r="B25" s="298">
        <v>9999999</v>
      </c>
      <c r="C25" s="299">
        <v>2.9999999999999997E-4</v>
      </c>
      <c r="D25" s="82"/>
      <c r="E25" s="85"/>
      <c r="F25" s="82"/>
      <c r="G25" s="82"/>
    </row>
    <row r="26" spans="1:8" s="84" customFormat="1" ht="14.45">
      <c r="A26" s="297" t="s">
        <v>502</v>
      </c>
      <c r="B26" s="298">
        <v>999999</v>
      </c>
      <c r="C26" s="299">
        <v>2.5000000000000001E-3</v>
      </c>
      <c r="D26" s="82"/>
      <c r="E26" s="85"/>
      <c r="F26" s="82"/>
      <c r="G26" s="82"/>
    </row>
    <row r="27" spans="1:8" s="84" customFormat="1" ht="14.45">
      <c r="A27" s="297" t="s">
        <v>502</v>
      </c>
      <c r="B27" s="298">
        <v>4999999</v>
      </c>
      <c r="C27" s="299">
        <v>2E-3</v>
      </c>
      <c r="D27" s="82"/>
      <c r="E27" s="85"/>
      <c r="F27" s="82"/>
      <c r="G27" s="82"/>
    </row>
    <row r="28" spans="1:8" s="84" customFormat="1" ht="14.45">
      <c r="A28" s="297" t="s">
        <v>502</v>
      </c>
      <c r="B28" s="298">
        <v>9999999</v>
      </c>
      <c r="C28" s="299">
        <v>1.5E-3</v>
      </c>
      <c r="D28" s="82"/>
      <c r="E28" s="85"/>
      <c r="F28" s="82"/>
      <c r="G28" s="82"/>
    </row>
    <row r="29" spans="1:8" s="84" customFormat="1">
      <c r="A29" s="82"/>
      <c r="B29" s="167"/>
      <c r="C29" s="82"/>
      <c r="D29" s="82"/>
      <c r="E29" s="82"/>
      <c r="F29" s="82"/>
      <c r="G29" s="82"/>
      <c r="H29" s="82"/>
    </row>
    <row r="30" spans="1:8" s="84" customFormat="1" ht="12.95">
      <c r="A30" s="85" t="s">
        <v>23</v>
      </c>
      <c r="B30" s="82"/>
      <c r="C30" s="82"/>
      <c r="D30" s="82"/>
      <c r="E30" s="82"/>
      <c r="F30" s="82"/>
      <c r="G30" s="82"/>
      <c r="H30" s="82"/>
    </row>
    <row r="31" spans="1:8" s="84" customFormat="1">
      <c r="A31" s="82"/>
      <c r="B31" s="400" t="s">
        <v>24</v>
      </c>
      <c r="C31" s="401"/>
      <c r="D31" s="400" t="s">
        <v>25</v>
      </c>
      <c r="E31" s="401"/>
      <c r="F31" s="223" t="s">
        <v>26</v>
      </c>
      <c r="G31" s="223" t="s">
        <v>338</v>
      </c>
      <c r="H31" s="223" t="s">
        <v>503</v>
      </c>
    </row>
    <row r="32" spans="1:8" s="82" customFormat="1" ht="21" customHeight="1">
      <c r="B32" s="404" t="s">
        <v>30</v>
      </c>
      <c r="C32" s="405"/>
      <c r="D32" s="402" t="s">
        <v>504</v>
      </c>
      <c r="E32" s="403"/>
      <c r="F32" s="226" t="s">
        <v>32</v>
      </c>
      <c r="G32" s="226">
        <v>1</v>
      </c>
      <c r="H32" s="236">
        <f>20000*12</f>
        <v>240000</v>
      </c>
    </row>
    <row r="33" spans="1:8" s="84" customFormat="1" ht="13.7" customHeight="1">
      <c r="A33" s="82"/>
      <c r="B33" s="406"/>
      <c r="C33" s="407"/>
      <c r="D33" s="398" t="s">
        <v>505</v>
      </c>
      <c r="E33" s="399"/>
      <c r="F33" s="229" t="s">
        <v>32</v>
      </c>
      <c r="G33" s="229">
        <v>1</v>
      </c>
      <c r="H33" s="237">
        <f>11500*12</f>
        <v>138000</v>
      </c>
    </row>
    <row r="34" spans="1:8" s="84" customFormat="1" ht="12.95">
      <c r="A34" s="85"/>
      <c r="B34" s="85" t="s">
        <v>342</v>
      </c>
      <c r="C34" s="82"/>
      <c r="D34" s="82"/>
      <c r="E34" s="82"/>
      <c r="F34" s="85"/>
      <c r="G34" s="82"/>
      <c r="H34" s="82"/>
    </row>
    <row r="35" spans="1:8" s="84" customFormat="1" ht="12.95">
      <c r="A35" s="82"/>
      <c r="B35" s="85"/>
      <c r="C35" s="85"/>
      <c r="D35" s="82"/>
      <c r="E35" s="82"/>
      <c r="F35" s="82"/>
      <c r="G35" s="82"/>
      <c r="H35" s="82"/>
    </row>
    <row r="36" spans="1:8" s="84" customFormat="1" ht="12.95">
      <c r="A36" s="85" t="s">
        <v>37</v>
      </c>
      <c r="B36" s="321" t="s">
        <v>24</v>
      </c>
      <c r="C36" s="322"/>
      <c r="D36" s="404" t="s">
        <v>25</v>
      </c>
      <c r="E36" s="405"/>
      <c r="F36" s="223" t="s">
        <v>503</v>
      </c>
      <c r="G36" s="223" t="s">
        <v>132</v>
      </c>
      <c r="H36" s="223" t="s">
        <v>40</v>
      </c>
    </row>
    <row r="37" spans="1:8" s="84" customFormat="1" ht="18.600000000000001" customHeight="1">
      <c r="A37" s="85"/>
      <c r="B37" s="328" t="s">
        <v>30</v>
      </c>
      <c r="C37" s="329"/>
      <c r="D37" s="402" t="s">
        <v>504</v>
      </c>
      <c r="E37" s="403"/>
      <c r="F37" s="239">
        <f>H32</f>
        <v>240000</v>
      </c>
      <c r="G37" s="293">
        <v>4.2000000000000002E-4</v>
      </c>
      <c r="H37" s="239">
        <f>F37*G37</f>
        <v>100.8</v>
      </c>
    </row>
    <row r="38" spans="1:8" s="84" customFormat="1" ht="12" customHeight="1">
      <c r="A38" s="85"/>
      <c r="B38" s="330"/>
      <c r="C38" s="331"/>
      <c r="D38" s="398" t="s">
        <v>505</v>
      </c>
      <c r="E38" s="399"/>
      <c r="F38" s="237">
        <f>H33</f>
        <v>138000</v>
      </c>
      <c r="G38" s="294">
        <v>4.2000000000000002E-4</v>
      </c>
      <c r="H38" s="237">
        <f>F38*G38</f>
        <v>57.96</v>
      </c>
    </row>
    <row r="39" spans="1:8" s="84" customFormat="1" ht="12.95">
      <c r="A39" s="85"/>
      <c r="B39" s="82"/>
      <c r="C39" s="82"/>
      <c r="D39" s="82"/>
      <c r="E39" s="82"/>
      <c r="F39" s="85"/>
      <c r="G39" s="82"/>
      <c r="H39" s="82"/>
    </row>
    <row r="40" spans="1:8" s="84" customFormat="1" ht="12.95">
      <c r="A40" s="85" t="s">
        <v>351</v>
      </c>
      <c r="B40" s="85"/>
      <c r="C40" s="85"/>
      <c r="D40" s="263">
        <f>SUM(H37:H38)</f>
        <v>158.76</v>
      </c>
      <c r="E40" s="82" t="s">
        <v>506</v>
      </c>
      <c r="F40" s="90"/>
      <c r="G40" s="82"/>
      <c r="H40" s="82"/>
    </row>
    <row r="41" spans="1:8" s="84" customFormat="1" ht="12.95">
      <c r="A41" s="85"/>
      <c r="B41" s="85"/>
      <c r="C41" s="85"/>
      <c r="D41" s="169"/>
      <c r="E41" s="82"/>
      <c r="F41" s="90"/>
      <c r="G41" s="82"/>
      <c r="H41" s="82"/>
    </row>
    <row r="42" spans="1:8" s="84" customFormat="1" ht="12.95">
      <c r="A42" s="85" t="s">
        <v>70</v>
      </c>
      <c r="B42" s="85" t="s">
        <v>507</v>
      </c>
      <c r="C42" s="82"/>
      <c r="D42" s="82"/>
      <c r="E42" s="82"/>
      <c r="F42" s="82"/>
      <c r="G42" s="82"/>
      <c r="H42" s="82"/>
    </row>
    <row r="43" spans="1:8" s="84" customFormat="1" ht="12.95">
      <c r="A43" s="85"/>
      <c r="B43" s="85" t="s">
        <v>508</v>
      </c>
      <c r="C43" s="82"/>
      <c r="D43" s="82"/>
      <c r="E43" s="82"/>
      <c r="F43" s="82"/>
      <c r="G43" s="82"/>
      <c r="H43" s="82"/>
    </row>
    <row r="44" spans="1:8" s="84" customFormat="1" ht="12.95">
      <c r="A44" s="85"/>
      <c r="B44" s="85" t="s">
        <v>509</v>
      </c>
      <c r="C44" s="82"/>
      <c r="D44" s="82"/>
      <c r="E44" s="82"/>
      <c r="F44" s="82"/>
      <c r="G44" s="82"/>
      <c r="H44" s="82"/>
    </row>
    <row r="45" spans="1:8" s="84" customFormat="1" ht="12.95">
      <c r="A45" s="85"/>
      <c r="B45" s="85" t="s">
        <v>510</v>
      </c>
      <c r="C45" s="82"/>
      <c r="D45" s="82"/>
      <c r="E45" s="82"/>
      <c r="F45" s="82"/>
      <c r="G45" s="82"/>
      <c r="H45" s="82"/>
    </row>
    <row r="46" spans="1:8" s="84" customFormat="1" ht="12.95">
      <c r="A46" s="85"/>
      <c r="B46" s="85"/>
      <c r="C46" s="82"/>
      <c r="D46" s="82"/>
      <c r="E46" s="82"/>
      <c r="F46" s="82"/>
      <c r="G46" s="82"/>
      <c r="H46" s="82"/>
    </row>
    <row r="47" spans="1:8" s="84" customFormat="1" ht="12.95">
      <c r="A47" s="92" t="s">
        <v>431</v>
      </c>
      <c r="B47" s="93"/>
      <c r="C47" s="93"/>
      <c r="D47" s="157"/>
      <c r="E47" s="413"/>
      <c r="F47" s="414"/>
      <c r="G47" s="414"/>
      <c r="H47" s="415"/>
    </row>
    <row r="48" spans="1:8" s="84" customFormat="1" ht="12.95">
      <c r="A48" s="119" t="s">
        <v>511</v>
      </c>
      <c r="B48" s="120"/>
      <c r="C48" s="120"/>
      <c r="D48" s="282"/>
      <c r="E48" s="287"/>
      <c r="F48" s="121"/>
      <c r="G48" s="121"/>
      <c r="H48" s="282"/>
    </row>
    <row r="49" spans="1:8" s="84" customFormat="1" ht="12.95">
      <c r="A49" s="100">
        <v>1</v>
      </c>
      <c r="B49" s="85" t="s">
        <v>512</v>
      </c>
      <c r="C49" s="85"/>
      <c r="D49" s="283"/>
      <c r="E49" s="130" t="s">
        <v>513</v>
      </c>
      <c r="F49" s="82"/>
      <c r="G49" s="82"/>
      <c r="H49" s="283"/>
    </row>
    <row r="50" spans="1:8" s="84" customFormat="1">
      <c r="A50" s="88"/>
      <c r="B50" s="82"/>
      <c r="C50" s="82"/>
      <c r="D50" s="283"/>
      <c r="E50" s="130"/>
      <c r="F50" s="87"/>
      <c r="G50" s="82"/>
      <c r="H50" s="283"/>
    </row>
    <row r="51" spans="1:8" s="84" customFormat="1" ht="12.95">
      <c r="A51" s="100">
        <v>2</v>
      </c>
      <c r="B51" s="85" t="s">
        <v>514</v>
      </c>
      <c r="C51" s="85"/>
      <c r="D51" s="283"/>
      <c r="E51" s="130" t="s">
        <v>515</v>
      </c>
      <c r="F51" s="86"/>
      <c r="G51" s="86"/>
      <c r="H51" s="205"/>
    </row>
    <row r="52" spans="1:8" s="84" customFormat="1">
      <c r="A52" s="88"/>
      <c r="B52" s="82"/>
      <c r="C52" s="82"/>
      <c r="D52" s="283"/>
      <c r="E52" s="288"/>
      <c r="F52" s="127"/>
      <c r="G52" s="82"/>
      <c r="H52" s="283"/>
    </row>
    <row r="53" spans="1:8" s="84" customFormat="1" ht="15" customHeight="1">
      <c r="A53" s="100">
        <v>3</v>
      </c>
      <c r="B53" s="85" t="s">
        <v>516</v>
      </c>
      <c r="C53" s="82"/>
      <c r="D53" s="283"/>
      <c r="E53" s="130" t="s">
        <v>517</v>
      </c>
      <c r="F53" s="127"/>
      <c r="G53" s="82"/>
      <c r="H53" s="283"/>
    </row>
    <row r="54" spans="1:8" s="84" customFormat="1">
      <c r="A54" s="88"/>
      <c r="B54" s="82"/>
      <c r="C54" s="82"/>
      <c r="D54" s="283"/>
      <c r="E54" s="130"/>
      <c r="F54" s="127"/>
      <c r="G54" s="82"/>
      <c r="H54" s="283"/>
    </row>
    <row r="55" spans="1:8" s="84" customFormat="1" ht="44.45" customHeight="1">
      <c r="A55" s="104">
        <v>4</v>
      </c>
      <c r="B55" s="85" t="s">
        <v>518</v>
      </c>
      <c r="C55" s="82"/>
      <c r="D55" s="283"/>
      <c r="E55" s="409" t="s">
        <v>519</v>
      </c>
      <c r="F55" s="327"/>
      <c r="G55" s="327"/>
      <c r="H55" s="367"/>
    </row>
    <row r="56" spans="1:8" s="84" customFormat="1" ht="12.95">
      <c r="A56" s="104"/>
      <c r="B56" s="85"/>
      <c r="C56" s="82"/>
      <c r="D56" s="283"/>
      <c r="E56" s="289"/>
      <c r="F56" s="109"/>
      <c r="G56" s="109"/>
      <c r="H56" s="232"/>
    </row>
    <row r="57" spans="1:8" s="84" customFormat="1" ht="32.1" customHeight="1">
      <c r="A57" s="104">
        <v>5</v>
      </c>
      <c r="B57" s="411" t="s">
        <v>520</v>
      </c>
      <c r="C57" s="411"/>
      <c r="D57" s="412"/>
      <c r="E57" s="409" t="s">
        <v>521</v>
      </c>
      <c r="F57" s="327"/>
      <c r="G57" s="327"/>
      <c r="H57" s="367"/>
    </row>
    <row r="58" spans="1:8" s="84" customFormat="1" ht="12.95">
      <c r="A58" s="104"/>
      <c r="B58" s="281"/>
      <c r="C58" s="281"/>
      <c r="D58" s="284"/>
      <c r="E58" s="289"/>
      <c r="F58" s="109"/>
      <c r="G58" s="109"/>
      <c r="H58" s="232"/>
    </row>
    <row r="59" spans="1:8" s="84" customFormat="1" ht="12.75" customHeight="1">
      <c r="A59" s="410" t="s">
        <v>522</v>
      </c>
      <c r="B59" s="411"/>
      <c r="C59" s="411"/>
      <c r="D59" s="412"/>
      <c r="E59" s="289"/>
      <c r="F59" s="109"/>
      <c r="G59" s="109"/>
      <c r="H59" s="232"/>
    </row>
    <row r="60" spans="1:8" s="84" customFormat="1" ht="12.75" customHeight="1">
      <c r="A60" s="110">
        <v>1</v>
      </c>
      <c r="B60" s="281" t="s">
        <v>523</v>
      </c>
      <c r="C60" s="281"/>
      <c r="D60" s="284"/>
      <c r="E60" s="409" t="s">
        <v>524</v>
      </c>
      <c r="F60" s="327"/>
      <c r="G60" s="327"/>
      <c r="H60" s="367"/>
    </row>
    <row r="61" spans="1:8" s="84" customFormat="1">
      <c r="A61" s="285"/>
      <c r="B61" s="133"/>
      <c r="C61" s="133"/>
      <c r="D61" s="286"/>
      <c r="E61" s="290"/>
      <c r="F61" s="134"/>
      <c r="G61" s="133"/>
      <c r="H61" s="286"/>
    </row>
    <row r="62" spans="1:8" s="84" customFormat="1" ht="12.95">
      <c r="A62" s="85"/>
      <c r="B62" s="85"/>
      <c r="C62" s="82"/>
      <c r="D62" s="82"/>
      <c r="E62" s="82"/>
      <c r="F62" s="82"/>
      <c r="G62" s="82"/>
      <c r="H62" s="82"/>
    </row>
    <row r="63" spans="1:8" s="84" customFormat="1" ht="12.95">
      <c r="A63" s="85" t="s">
        <v>60</v>
      </c>
      <c r="B63" s="82"/>
      <c r="C63" s="82"/>
      <c r="D63" s="127"/>
      <c r="E63" s="127"/>
      <c r="F63" s="127"/>
      <c r="G63" s="82"/>
      <c r="H63" s="82"/>
    </row>
    <row r="64" spans="1:8" s="84" customFormat="1">
      <c r="A64" s="163">
        <v>1</v>
      </c>
      <c r="B64" s="163" t="s">
        <v>525</v>
      </c>
      <c r="C64" s="163"/>
      <c r="D64" s="170"/>
      <c r="E64" s="170"/>
      <c r="F64" s="170"/>
      <c r="G64" s="163"/>
      <c r="H64" s="163"/>
    </row>
    <row r="65" spans="1:8" s="84" customFormat="1" ht="16.7" customHeight="1">
      <c r="A65" s="163">
        <v>2</v>
      </c>
      <c r="B65" s="325" t="s">
        <v>526</v>
      </c>
      <c r="C65" s="408"/>
      <c r="D65" s="408"/>
      <c r="E65" s="408"/>
      <c r="F65" s="408"/>
      <c r="G65" s="408"/>
      <c r="H65" s="408"/>
    </row>
    <row r="66" spans="1:8" s="84" customFormat="1" ht="15.6" customHeight="1">
      <c r="A66" s="163">
        <v>3</v>
      </c>
      <c r="B66" s="379" t="s">
        <v>527</v>
      </c>
      <c r="C66" s="379"/>
      <c r="D66" s="379"/>
      <c r="E66" s="379"/>
      <c r="F66" s="379"/>
      <c r="G66" s="379"/>
      <c r="H66" s="379"/>
    </row>
    <row r="67" spans="1:8" s="84" customFormat="1">
      <c r="A67" s="163">
        <v>4</v>
      </c>
      <c r="B67" s="163" t="s">
        <v>528</v>
      </c>
      <c r="C67" s="163"/>
      <c r="D67" s="170"/>
      <c r="E67" s="170"/>
      <c r="F67" s="170"/>
      <c r="G67" s="163"/>
      <c r="H67" s="163"/>
    </row>
    <row r="68" spans="1:8" s="84" customFormat="1" ht="12.6" customHeight="1">
      <c r="A68" s="163">
        <v>5</v>
      </c>
      <c r="B68" s="163" t="s">
        <v>529</v>
      </c>
      <c r="C68" s="163"/>
      <c r="D68" s="170"/>
      <c r="E68" s="170"/>
      <c r="F68" s="170"/>
      <c r="G68" s="163"/>
      <c r="H68" s="163"/>
    </row>
    <row r="69" spans="1:8" s="84" customFormat="1">
      <c r="A69" s="163">
        <v>6</v>
      </c>
      <c r="B69" s="163" t="s">
        <v>530</v>
      </c>
      <c r="C69" s="163"/>
      <c r="D69" s="170"/>
      <c r="E69" s="170"/>
      <c r="F69" s="170"/>
      <c r="G69" s="163"/>
      <c r="H69" s="163"/>
    </row>
    <row r="70" spans="1:8" s="84" customFormat="1">
      <c r="A70" s="163">
        <v>7</v>
      </c>
      <c r="B70" s="163" t="s">
        <v>531</v>
      </c>
      <c r="C70" s="163"/>
      <c r="D70" s="170"/>
      <c r="E70" s="170"/>
      <c r="F70" s="170"/>
      <c r="G70" s="163"/>
      <c r="H70" s="163"/>
    </row>
    <row r="71" spans="1:8" s="84" customFormat="1">
      <c r="A71" s="163">
        <v>8</v>
      </c>
      <c r="B71" s="163" t="s">
        <v>532</v>
      </c>
      <c r="C71" s="163"/>
      <c r="D71" s="170"/>
      <c r="E71" s="170"/>
      <c r="F71" s="170"/>
      <c r="G71" s="163"/>
      <c r="H71" s="163"/>
    </row>
    <row r="72" spans="1:8" s="84" customFormat="1" ht="12.95">
      <c r="A72" s="85"/>
      <c r="B72" s="82"/>
      <c r="C72" s="82"/>
      <c r="D72" s="127"/>
      <c r="E72" s="127"/>
      <c r="F72" s="127"/>
      <c r="G72" s="82"/>
      <c r="H72" s="82"/>
    </row>
    <row r="73" spans="1:8" s="84" customFormat="1" ht="12.95">
      <c r="A73" s="85"/>
      <c r="B73" s="82"/>
      <c r="C73" s="82"/>
      <c r="D73" s="127"/>
      <c r="E73" s="127"/>
      <c r="F73" s="127"/>
      <c r="G73" s="82"/>
      <c r="H73" s="82"/>
    </row>
    <row r="74" spans="1:8" s="84" customFormat="1" ht="12.95">
      <c r="A74" s="85"/>
      <c r="B74" s="82"/>
      <c r="C74" s="82"/>
      <c r="D74" s="127"/>
      <c r="E74" s="127"/>
      <c r="F74" s="127"/>
      <c r="G74" s="82"/>
      <c r="H74" s="82"/>
    </row>
    <row r="75" spans="1:8" s="84" customFormat="1" ht="12.95">
      <c r="A75" s="85"/>
      <c r="B75" s="82"/>
      <c r="C75" s="82"/>
      <c r="D75" s="127"/>
      <c r="E75" s="127"/>
      <c r="F75" s="127"/>
      <c r="G75" s="82"/>
      <c r="H75" s="82"/>
    </row>
    <row r="76" spans="1:8" s="84" customFormat="1" ht="12.95">
      <c r="A76" s="85"/>
      <c r="B76" s="82"/>
      <c r="C76" s="82"/>
      <c r="D76" s="127"/>
      <c r="E76" s="127"/>
      <c r="F76" s="127"/>
      <c r="G76" s="82"/>
      <c r="H76" s="82"/>
    </row>
    <row r="77" spans="1:8" s="84" customFormat="1" ht="12.95">
      <c r="A77" s="85"/>
      <c r="B77" s="82"/>
      <c r="C77" s="82"/>
      <c r="D77" s="127"/>
      <c r="E77" s="127"/>
      <c r="F77" s="127"/>
      <c r="G77" s="82"/>
      <c r="H77" s="82"/>
    </row>
    <row r="78" spans="1:8" s="84" customFormat="1" ht="12.95">
      <c r="A78" s="85"/>
      <c r="B78" s="82"/>
      <c r="C78" s="82"/>
      <c r="D78" s="127"/>
      <c r="E78" s="127"/>
      <c r="F78" s="127"/>
      <c r="G78" s="82"/>
      <c r="H78" s="82"/>
    </row>
    <row r="79" spans="1:8" s="84" customFormat="1" ht="12.95">
      <c r="A79" s="85"/>
      <c r="B79" s="82"/>
      <c r="C79" s="82"/>
      <c r="D79" s="127"/>
      <c r="E79" s="127"/>
      <c r="F79" s="127"/>
      <c r="G79" s="82"/>
      <c r="H79" s="82"/>
    </row>
    <row r="80" spans="1:8" s="84" customFormat="1" ht="12.95">
      <c r="A80" s="85"/>
      <c r="B80" s="82"/>
      <c r="C80" s="82"/>
      <c r="D80" s="127"/>
      <c r="E80" s="127"/>
      <c r="F80" s="127"/>
      <c r="G80" s="82"/>
      <c r="H80" s="82"/>
    </row>
    <row r="81" spans="1:8" s="84" customFormat="1" ht="12.95">
      <c r="A81" s="85"/>
      <c r="B81" s="82"/>
      <c r="C81" s="82"/>
      <c r="D81" s="127"/>
      <c r="E81" s="127"/>
      <c r="F81" s="127"/>
      <c r="G81" s="82"/>
      <c r="H81" s="82"/>
    </row>
    <row r="82" spans="1:8" s="84" customFormat="1" ht="12.95">
      <c r="A82" s="85"/>
      <c r="B82" s="82"/>
      <c r="C82" s="82"/>
      <c r="D82" s="127"/>
      <c r="E82" s="127"/>
      <c r="F82" s="127"/>
      <c r="G82" s="82"/>
      <c r="H82" s="82"/>
    </row>
    <row r="83" spans="1:8" s="84" customFormat="1" ht="12.95">
      <c r="A83" s="85"/>
      <c r="B83" s="82"/>
      <c r="C83" s="82"/>
      <c r="D83" s="127"/>
      <c r="E83" s="127"/>
      <c r="F83" s="127"/>
      <c r="G83" s="82"/>
      <c r="H83" s="82"/>
    </row>
    <row r="84" spans="1:8" s="84" customFormat="1" ht="12.95">
      <c r="A84" s="85"/>
      <c r="B84" s="82"/>
      <c r="C84" s="82"/>
      <c r="D84" s="127"/>
      <c r="E84" s="127"/>
      <c r="F84" s="127"/>
      <c r="G84" s="82"/>
      <c r="H84" s="82"/>
    </row>
    <row r="85" spans="1:8" s="84" customFormat="1" ht="12.95">
      <c r="A85" s="85"/>
      <c r="B85" s="82"/>
      <c r="C85" s="82"/>
      <c r="D85" s="127"/>
      <c r="E85" s="127"/>
      <c r="F85" s="127"/>
      <c r="G85" s="82"/>
      <c r="H85" s="82"/>
    </row>
    <row r="86" spans="1:8" s="84" customFormat="1" ht="12.95">
      <c r="A86" s="85"/>
      <c r="B86" s="82"/>
      <c r="C86" s="82"/>
      <c r="D86" s="127"/>
      <c r="E86" s="127"/>
      <c r="F86" s="127"/>
      <c r="G86" s="82"/>
      <c r="H86" s="82"/>
    </row>
    <row r="87" spans="1:8" s="84" customFormat="1" ht="12.95">
      <c r="A87" s="85"/>
      <c r="B87" s="82"/>
      <c r="C87" s="82"/>
      <c r="D87" s="127"/>
      <c r="E87" s="127"/>
      <c r="F87" s="127"/>
      <c r="G87" s="82"/>
      <c r="H87" s="82"/>
    </row>
    <row r="88" spans="1:8" s="84" customFormat="1" ht="12.95">
      <c r="A88" s="85"/>
      <c r="B88" s="82"/>
      <c r="C88" s="82"/>
      <c r="D88" s="127"/>
      <c r="E88" s="127"/>
      <c r="F88" s="127"/>
      <c r="G88" s="82"/>
      <c r="H88" s="82"/>
    </row>
    <row r="89" spans="1:8" s="84" customFormat="1" ht="12.95">
      <c r="A89" s="85"/>
      <c r="B89" s="82"/>
      <c r="C89" s="82"/>
      <c r="D89" s="127"/>
      <c r="E89" s="127"/>
      <c r="F89" s="127"/>
      <c r="G89" s="82"/>
      <c r="H89" s="82"/>
    </row>
    <row r="90" spans="1:8" s="84" customFormat="1" ht="12.95">
      <c r="A90" s="85"/>
      <c r="B90" s="82"/>
      <c r="C90" s="82"/>
      <c r="D90" s="127"/>
      <c r="E90" s="127"/>
      <c r="F90" s="127"/>
      <c r="G90" s="82"/>
      <c r="H90" s="82"/>
    </row>
    <row r="91" spans="1:8" s="84" customFormat="1" ht="12.95">
      <c r="A91" s="85"/>
      <c r="B91" s="82"/>
      <c r="C91" s="82"/>
      <c r="D91" s="127"/>
      <c r="E91" s="127"/>
      <c r="F91" s="127"/>
      <c r="G91" s="82"/>
      <c r="H91" s="82"/>
    </row>
    <row r="92" spans="1:8" s="84" customFormat="1" ht="12.95">
      <c r="A92" s="85"/>
      <c r="B92" s="82"/>
      <c r="C92" s="82"/>
      <c r="D92" s="127"/>
      <c r="E92" s="127"/>
      <c r="F92" s="127"/>
      <c r="G92" s="82"/>
      <c r="H92" s="82"/>
    </row>
    <row r="93" spans="1:8" s="84" customFormat="1" ht="12.95">
      <c r="A93" s="85"/>
      <c r="B93" s="82"/>
      <c r="C93" s="82"/>
      <c r="D93" s="127"/>
      <c r="E93" s="127"/>
      <c r="F93" s="127"/>
      <c r="G93" s="82"/>
      <c r="H93" s="82"/>
    </row>
    <row r="94" spans="1:8" s="84" customFormat="1" ht="12.95">
      <c r="A94" s="85"/>
      <c r="B94" s="82"/>
      <c r="C94" s="82"/>
      <c r="D94" s="127"/>
      <c r="E94" s="127"/>
      <c r="F94" s="127"/>
      <c r="G94" s="82"/>
      <c r="H94" s="82"/>
    </row>
    <row r="95" spans="1:8" s="84" customFormat="1" ht="12.95">
      <c r="A95" s="85"/>
      <c r="B95" s="82"/>
      <c r="C95" s="82"/>
      <c r="D95" s="127"/>
      <c r="E95" s="127"/>
      <c r="F95" s="127"/>
      <c r="G95" s="82"/>
      <c r="H95" s="82"/>
    </row>
    <row r="96" spans="1:8" s="84" customFormat="1" ht="12.95">
      <c r="A96" s="85"/>
      <c r="B96" s="82"/>
      <c r="C96" s="82"/>
      <c r="D96" s="127"/>
      <c r="E96" s="127"/>
      <c r="F96" s="127"/>
      <c r="G96" s="82"/>
      <c r="H96" s="82"/>
    </row>
  </sheetData>
  <mergeCells count="21">
    <mergeCell ref="B65:H65"/>
    <mergeCell ref="E60:H60"/>
    <mergeCell ref="B19:H19"/>
    <mergeCell ref="A59:D59"/>
    <mergeCell ref="B66:H66"/>
    <mergeCell ref="E47:H47"/>
    <mergeCell ref="E55:H55"/>
    <mergeCell ref="B57:D57"/>
    <mergeCell ref="E57:H57"/>
    <mergeCell ref="A18:H18"/>
    <mergeCell ref="B20:H20"/>
    <mergeCell ref="D38:E38"/>
    <mergeCell ref="B31:C31"/>
    <mergeCell ref="B36:C36"/>
    <mergeCell ref="D32:E32"/>
    <mergeCell ref="D33:E33"/>
    <mergeCell ref="B37:C38"/>
    <mergeCell ref="B32:C33"/>
    <mergeCell ref="D31:E31"/>
    <mergeCell ref="D37:E37"/>
    <mergeCell ref="D36:E36"/>
  </mergeCells>
  <pageMargins left="0.23622047244094491" right="0.23622047244094491" top="0.86614173228346458" bottom="0.59055118110236227" header="0.23622047244094491" footer="0.23622047244094491"/>
  <pageSetup paperSize="9" scale="80" fitToHeight="0" orientation="landscape" r:id="rId1"/>
  <headerFooter alignWithMargins="0">
    <oddHeader xml:space="preserve">&amp;C&amp;"Arial,Bold"PLACEMENT SLIP
&amp;"Arial,Regular"&amp;A&amp;"Arial,Bold"
&amp;R&amp;D
Pg &amp;P of &amp;N
&amp;G
</oddHeader>
    <oddFooter>&amp;LProceed Cover
_________________
Client Sign/ Date&amp;C&amp;8This is to effect cover, nt a contract. The quotation slip and the policy forms the basis of the contract.
E &amp; EO.&amp;RConfirmed
_______________
Insurer Sign/ Date</oddFooter>
  </headerFooter>
  <rowBreaks count="2" manualBreakCount="2">
    <brk id="40" max="9" man="1"/>
    <brk id="72" max="7"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ec693e2-0a13-4e75-a544-4ca0ea67ce05" xsi:nil="true"/>
    <lcf76f155ced4ddcb4097134ff3c332f xmlns="98a96112-769b-4613-b105-6c4a94718fa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0F1CAB023FA474CBC340735AFCEBD3D" ma:contentTypeVersion="15" ma:contentTypeDescription="Create a new document." ma:contentTypeScope="" ma:versionID="ca0ed9c02da8f6376ac3fd1c21d494a6">
  <xsd:schema xmlns:xsd="http://www.w3.org/2001/XMLSchema" xmlns:xs="http://www.w3.org/2001/XMLSchema" xmlns:p="http://schemas.microsoft.com/office/2006/metadata/properties" xmlns:ns2="98a96112-769b-4613-b105-6c4a94718fa5" xmlns:ns3="1ec693e2-0a13-4e75-a544-4ca0ea67ce05" targetNamespace="http://schemas.microsoft.com/office/2006/metadata/properties" ma:root="true" ma:fieldsID="53125e1630d68d1cd9259f7db85fa06b" ns2:_="" ns3:_="">
    <xsd:import namespace="98a96112-769b-4613-b105-6c4a94718fa5"/>
    <xsd:import namespace="1ec693e2-0a13-4e75-a544-4ca0ea67ce0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a96112-769b-4613-b105-6c4a94718f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211f60-c876-4f0e-b49f-a48a40279fd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c693e2-0a13-4e75-a544-4ca0ea67ce0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979c7d59-e9a0-4147-bcea-eee0c271d64b}" ma:internalName="TaxCatchAll" ma:showField="CatchAllData" ma:web="1ec693e2-0a13-4e75-a544-4ca0ea67ce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23CAFA-01FE-467E-B5E5-08F62FF43286}"/>
</file>

<file path=customXml/itemProps2.xml><?xml version="1.0" encoding="utf-8"?>
<ds:datastoreItem xmlns:ds="http://schemas.openxmlformats.org/officeDocument/2006/customXml" ds:itemID="{F3B323E5-EBFA-4D4F-8C77-80185B678292}"/>
</file>

<file path=customXml/itemProps3.xml><?xml version="1.0" encoding="utf-8"?>
<ds:datastoreItem xmlns:ds="http://schemas.openxmlformats.org/officeDocument/2006/customXml" ds:itemID="{16E10F39-32EB-4FD7-8DB8-630C19AF3227}"/>
</file>

<file path=docProps/app.xml><?xml version="1.0" encoding="utf-8"?>
<Properties xmlns="http://schemas.openxmlformats.org/officeDocument/2006/extended-properties" xmlns:vt="http://schemas.openxmlformats.org/officeDocument/2006/docPropsVTypes">
  <Application>Microsoft Excel Online</Application>
  <Manager/>
  <Compan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c:creator>
  <cp:keywords/>
  <dc:description/>
  <cp:lastModifiedBy>EBClaims</cp:lastModifiedBy>
  <cp:revision/>
  <dcterms:created xsi:type="dcterms:W3CDTF">2004-02-10T00:56:38Z</dcterms:created>
  <dcterms:modified xsi:type="dcterms:W3CDTF">2026-03-04T02:32:29Z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0x010100E0F1CAB023FA474CBC340735AFCEBD3D</vt:lpwstr>
  </property>
  <property fmtid="{D5CDD505-2E9C-101B-9397-08002B2CF9AE}" pid="3" name="MediaServiceImageTags">
    <vt:lpwstr/>
  </property>
</Properties>
</file>